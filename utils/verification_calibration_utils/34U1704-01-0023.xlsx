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3" lowestEdited="5" rupBuild="9302"/>
  <workbookPr/>
  <bookViews>
    <workbookView xWindow="0" yWindow="0" windowWidth="28800" windowHeight="11010" tabRatio="920" firstSheet="1" activeTab="18"/>
  </bookViews>
  <sheets>
    <sheet name="Report" sheetId="21" r:id="rId2"/>
    <sheet name="基础信息" sheetId="13" r:id="rId3"/>
    <sheet name="测量结果表" sheetId="20" r:id="rId4"/>
    <sheet name="管理表" sheetId="19" r:id="rId5"/>
    <sheet name="对应信息" sheetId="17" state="hidden" r:id="rId6"/>
    <sheet name="仪器状态" sheetId="23" r:id="rId7"/>
    <sheet name="样品池准确度与重复性校验" sheetId="24" state="hidden" r:id="rId8"/>
    <sheet name="检测项信息" sheetId="14" r:id="rId9"/>
    <sheet name="标准值" sheetId="16" r:id="rId10"/>
    <sheet name="字段对应" sheetId="15" state="hidden" r:id="rId11"/>
    <sheet name="波长示值误差与重复性校验" sheetId="3" r:id="rId12"/>
    <sheet name="透射比示值误差与重复性校验" sheetId="4" r:id="rId13"/>
    <sheet name="杂散光校验" sheetId="5" r:id="rId14"/>
    <sheet name="基线平直度检验" sheetId="6" r:id="rId15"/>
    <sheet name="基线暗噪声检验" sheetId="7" r:id="rId16"/>
    <sheet name="光谱带宽与仪器最小光谱带宽" sheetId="8" r:id="rId17"/>
    <sheet name="噪声检验" sheetId="9" r:id="rId18"/>
    <sheet name="波长边缘噪声" sheetId="10" r:id="rId19"/>
    <sheet name="漂移检验" sheetId="11" r:id="rId20"/>
  </sheets>
  <definedNames>
    <definedName name="OLE_LINK10" localSheetId="0">Report!#REF!</definedName>
  </definedNames>
  <calcPr calcId="18999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<sst xmlns="http://schemas.openxmlformats.org/spreadsheetml/2006/main" uniqueCount="365">
  <si>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</si>
  <si>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</si>
  <si>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</si>
  <si>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</si>
  <si>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</si>
  <si>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</si>
  <si>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</si>
  <si>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</si>
  <si>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</si>
  <si>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</si>
  <si>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</si>
  <si>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</si>
  <si>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</si>
  <si>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</si>
  <si>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</si>
  <si>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</si>
  <si>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</si>
  <si>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</si>
  <si>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</si>
  <si>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波长示值误差与重复性</t>
  </si>
  <si>
    <t xml:space="preserve">
波长示值误差
氘灯：
±0.1nm
镨钕：
±0.3nm
波长重复性
≤0.1nm 
</t>
  </si>
  <si>
    <t>波长段</t>
  </si>
  <si>
    <t>B段</t>
  </si>
  <si>
    <t>检测工具</t>
  </si>
  <si>
    <t>镨钕滤光片</t>
  </si>
  <si>
    <t>氘灯</t>
  </si>
  <si>
    <t>标准值(nm)</t>
  </si>
  <si>
    <t>测量值(nm)</t>
  </si>
  <si>
    <t>平均值(nm)</t>
  </si>
  <si>
    <t>误差值(nm)</t>
  </si>
  <si>
    <t>重复性(nm)</t>
  </si>
  <si>
    <t xml:space="preserve">波长示值误差与重复性
</t>
  </si>
  <si>
    <t xml:space="preserve">
波长示值误差
钬溶液：
±0.3nm
波长重复性
≤0.1nm </t>
  </si>
  <si>
    <t>钬溶液</t>
  </si>
  <si>
    <t>测量值（nm）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</si>
  <si>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</si>
  <si>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</si>
  <si>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</si>
  <si>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</si>
  <si>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</si>
  <si>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</si>
  <si>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</si>
  <si>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</si>
  <si>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</si>
  <si>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</si>
  <si>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</si>
  <si>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</si>
  <si>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≤0.1%</t>
  </si>
  <si>
    <t>30%中性滤光片</t>
  </si>
  <si>
    <t xml:space="preserve">透射比示值误差与
重复性
（紫外区）
</t>
  </si>
  <si>
    <t>紫外分光光度计标准物质GBW(E)130066</t>
  </si>
  <si>
    <t>标准值（%）</t>
  </si>
  <si>
    <t>测量值（%）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</si>
  <si>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</si>
  <si>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</si>
  <si>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</si>
  <si>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</si>
  <si>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</si>
  <si>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</si>
  <si>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</si>
  <si>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</si>
  <si>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</si>
  <si>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</si>
  <si>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</si>
  <si>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</si>
  <si>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基线暗噪声</t>
  </si>
  <si>
    <t>≤±0.1%</t>
  </si>
  <si>
    <t>光谱带宽</t>
  </si>
  <si>
    <t>不超过标称光谱带宽的±20%</t>
  </si>
  <si>
    <t>光谱带宽（nm）</t>
  </si>
  <si>
    <t>氘灯5.0</t>
  </si>
  <si>
    <t>氘灯2.0</t>
  </si>
  <si>
    <t>氘灯1.0</t>
  </si>
  <si>
    <t>氘灯0.5</t>
  </si>
  <si>
    <t>氘灯0.2</t>
  </si>
  <si>
    <t>偏差（%）</t>
  </si>
  <si>
    <t>噪声500nm</t>
  </si>
  <si>
    <t>≤0.05%</t>
  </si>
  <si>
    <t>≤0.005%</t>
  </si>
  <si>
    <t>噪声250nm</t>
  </si>
  <si>
    <t>边缘噪声
1090 nm</t>
  </si>
  <si>
    <t>≤0.1%</t>
  </si>
  <si>
    <t>边缘噪声200nm</t>
  </si>
  <si>
    <t>漂移</t>
  </si>
  <si>
    <t>500nm ≤0.1%/h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</si>
  <si>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</si>
  <si>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</si>
  <si>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</si>
  <si>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</si>
  <si>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</si>
  <si>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</si>
  <si>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</si>
  <si>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</si>
  <si>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</si>
  <si>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</si>
  <si>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</si>
  <si>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</si>
  <si>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</si>
  <si>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</si>
  <si>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</si>
  <si>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</si>
  <si>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</si>
  <si>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</si>
  <si>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</si>
  <si>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</si>
  <si>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</si>
  <si>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</si>
  <si>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</si>
  <si>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</si>
  <si>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</si>
  <si>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</si>
  <si>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</si>
  <si>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</si>
  <si>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</si>
  <si>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</si>
  <si>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</si>
  <si>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</si>
  <si>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</si>
  <si>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</si>
  <si>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</si>
  <si>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</si>
  <si>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</si>
  <si>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</si>
  <si>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</si>
  <si>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</si>
  <si>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</si>
  <si>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</si>
  <si>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</si>
  <si>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</si>
  <si>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</si>
  <si>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</si>
  <si>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</si>
  <si>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</si>
  <si>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</si>
  <si>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</si>
  <si>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</si>
  <si>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</si>
  <si>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</si>
  <si>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</si>
  <si>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</si>
  <si>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</si>
  <si>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</si>
  <si>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</si>
  <si>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</si>
  <si>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</si>
  <si>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</si>
  <si>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</si>
  <si>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</si>
  <si>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</si>
  <si>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</si>
  <si>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</si>
  <si>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</si>
  <si>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</si>
  <si>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</si>
  <si>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</si>
  <si>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</si>
  <si>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</si>
  <si>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</si>
  <si>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</si>
  <si>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</si>
  <si>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</si>
  <si>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</si>
  <si>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</si>
  <si>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</si>
  <si>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</si>
  <si>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</si>
  <si>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</si>
  <si>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</si>
  <si>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</si>
  <si>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</si>
  <si>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</si>
  <si>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</si>
  <si>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</si>
  <si>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</si>
  <si>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</si>
  <si>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</si>
  <si>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</si>
  <si>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</si>
  <si>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</si>
  <si>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</si>
  <si>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</si>
  <si>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</si>
  <si>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</si>
  <si>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</si>
  <si>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</si>
  <si>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</si>
  <si>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</si>
  <si>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</si>
  <si>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</si>
  <si>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</si>
  <si>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</si>
  <si>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</si>
  <si>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</si>
  <si>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</si>
  <si>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</si>
  <si>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</si>
  <si>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</si>
  <si>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</si>
  <si>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</si>
  <si>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</si>
  <si>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</si>
  <si>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</si>
  <si>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</si>
  <si>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</si>
  <si>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</si>
  <si>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</si>
  <si>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</si>
  <si>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</si>
  <si>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</si>
  <si>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</si>
  <si>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</si>
  <si>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</si>
  <si>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</si>
  <si>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</si>
  <si>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</si>
  <si>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</si>
  <si>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</si>
  <si>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</si>
  <si>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</si>
  <si>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</si>
  <si>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</si>
  <si>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</si>
  <si>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</si>
  <si>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</si>
  <si>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</si>
  <si>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</si>
  <si>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</si>
  <si>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</si>
  <si>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</si>
  <si>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</si>
  <si>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</si>
  <si>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</si>
  <si>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</si>
  <si>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</si>
  <si>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</si>
  <si>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</si>
  <si>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</si>
  <si>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</si>
  <si>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</si>
  <si>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</si>
  <si>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</si>
  <si>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</si>
  <si>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</si>
  <si>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</si>
  <si>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</si>
  <si>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</si>
  <si>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</si>
  <si>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</si>
  <si>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</si>
  <si>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</si>
  <si>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</si>
  <si>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</si>
  <si>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</si>
  <si>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</si>
  <si>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</si>
  <si>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</si>
  <si>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</si>
  <si>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</si>
  <si>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</si>
  <si>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</si>
  <si>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</si>
  <si>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</si>
  <si>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</si>
  <si>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</si>
  <si>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</si>
  <si>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</si>
  <si>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</si>
  <si>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</si>
  <si>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</si>
  <si>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</si>
  <si>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</si>
  <si>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氘灯(656.1)</t>
  </si>
  <si>
    <t>寻峰</t>
  </si>
  <si>
    <t>空气</t>
  </si>
  <si>
    <t>氘灯(486.0)</t>
  </si>
  <si>
    <t>黑挡块</t>
  </si>
  <si>
    <t>640.7,536.8,416.5,361.0,287.4,241.0</t>
  </si>
  <si>
    <t>求半峰宽</t>
  </si>
  <si>
    <t>求最大偏移量</t>
  </si>
  <si>
    <t>最大最小值差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</si>
  <si>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</si>
  <si>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</si>
  <si>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</si>
  <si>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</si>
  <si>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</si>
  <si>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</si>
  <si>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</si>
  <si>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350,313,257,235</t>
  </si>
  <si>
    <t>求平均</t>
  </si>
  <si>
    <t>紫外分光光度计标准物质空白溶液</t>
  </si>
  <si>
    <t>23.2,51.58,14.06,18.42</t>
  </si>
  <si>
    <t>635,546,440</t>
  </si>
  <si>
    <t>7.57,10.1,10.07</t>
  </si>
  <si>
    <t>18.89,20.09,20.91</t>
  </si>
  <si>
    <t>29.96,30.43,28.88</t>
  </si>
  <si>
    <t>仪器预热1小时之后进行检验</t>
  </si>
  <si>
    <t>测试项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</si>
  <si>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</si>
  <si>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</si>
  <si>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</si>
  <si>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</si>
  <si>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</si>
  <si>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</si>
  <si>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</si>
  <si>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</si>
  <si>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</si>
  <si>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</si>
  <si>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</si>
  <si>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</si>
  <si>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</si>
  <si>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</si>
  <si>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</si>
  <si>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</si>
  <si>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</si>
  <si>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</si>
  <si>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</si>
  <si>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</si>
  <si>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</si>
  <si>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</si>
  <si>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</si>
  <si>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</si>
  <si>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</si>
  <si>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</si>
  <si>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</si>
  <si>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</si>
  <si>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</si>
  <si>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</si>
  <si>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</si>
  <si>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</si>
  <si>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</si>
  <si>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</si>
  <si>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</si>
  <si>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</si>
  <si>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</si>
  <si>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</si>
  <si>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</si>
  <si>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</si>
  <si>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</si>
  <si>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</si>
  <si>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</si>
  <si>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</si>
  <si>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</si>
  <si>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</si>
  <si>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</si>
  <si>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</si>
  <si>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平均值（nm）</t>
  </si>
  <si>
    <t>误差值（nm）</t>
  </si>
  <si>
    <t>重复性（nm）</t>
  </si>
  <si>
    <t>波长示值误差(nm)</t>
  </si>
  <si>
    <t>氘灯656.1</t>
  </si>
  <si>
    <t>氘灯486</t>
  </si>
  <si>
    <t>486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</si>
  <si>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</si>
  <si>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</si>
  <si>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</si>
  <si>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</si>
  <si>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</si>
  <si>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</si>
  <si>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</si>
  <si>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</si>
  <si>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误差范围（%）</t>
  </si>
  <si>
    <t>垂直距离范围</t>
  </si>
  <si>
    <t>测量波长</t>
  </si>
  <si>
    <t>34U1704-01-0023</t>
  </si>
  <si>
    <t>2.2.24.1119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</si>
</sst>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4" formatCode="General"/>
    <numFmt numFmtId="165" formatCode="0%"/>
    <numFmt numFmtId="166" formatCode="_ * #,##0_ ;_ * \-#,##0_ ;_ * &quot;-&quot;_ ;_ @_ "/>
    <numFmt numFmtId="167" formatCode="_ &quot;￥&quot;* #,##0_ ;_ &quot;￥&quot;* \-#,##0_ ;_ &quot;￥&quot;* &quot;-&quot;_ ;_ @_ "/>
    <numFmt numFmtId="168" formatCode="_ * #,##0.00_ ;_ * \-#,##0.00_ ;_ * &quot;-&quot;??_ ;_ @_ "/>
    <numFmt numFmtId="169" formatCode="_ &quot;￥&quot;* #,##0.00_ ;_ &quot;￥&quot;* \-#,##0.00_ ;_ &quot;￥&quot;* &quot;-&quot;??_ ;_ @_ "/>
    <numFmt numFmtId="240" formatCode="0.00_);[Red]\(0.00\)"/>
    <numFmt numFmtId="242" formatCode="0.0_);[Red]\(0.0\)"/>
    <numFmt numFmtId="244" formatCode="0.000_);[Red]\(0.000\)"/>
    <numFmt numFmtId="245" formatCode="0.000"/>
    <numFmt numFmtId="246" formatCode="0.0_);[Red]\(0.0\)"/>
    <numFmt numFmtId="247" formatCode="0.000_);[Red]\(0.000\)"/>
    <numFmt numFmtId="248" formatCode="0.00_);[Red]\(0.00\)"/>
    <numFmt numFmtId="250" formatCode="0.0000_);[Red]\(0.0000\)"/>
    <numFmt numFmtId="251" formatCode="0.0000"/>
    <numFmt numFmtId="252" formatCode="0.00_);[Red]\(0.00\)"/>
    <numFmt numFmtId="253" formatCode="0.000_);[Red]\(0.000\)"/>
    <numFmt numFmtId="255" formatCode="0.0"/>
    <numFmt numFmtId="257" formatCode="0.0_);[Red]\(0.0\)"/>
    <numFmt numFmtId="259" formatCode="0.0_);[Red]\(0.0\)"/>
    <numFmt numFmtId="260" formatCode="0.0_);[Red]\(0.0\)"/>
    <numFmt numFmtId="262" formatCode="0.000_);[Red]\(0.000\)"/>
    <numFmt numFmtId="264" formatCode="0.0000_);[Red]\(0.0000\)"/>
    <numFmt numFmtId="266" formatCode="0.0_);[Red]\(0.0\)"/>
    <numFmt numFmtId="267" formatCode="0.0_);[Red]\(0.0\)"/>
    <numFmt numFmtId="269" formatCode="0.0_);[Red]\(0.0\)"/>
    <numFmt numFmtId="270" formatCode="0.00000"/>
    <numFmt numFmtId="271" formatCode="0.00000"/>
    <numFmt numFmtId="272" formatCode="0.00000"/>
    <numFmt numFmtId="274" formatCode="0.0000_);[Red]\(0.0000\)"/>
    <numFmt numFmtId="279" formatCode="0.00_);[Red]\(0.00\)"/>
    <numFmt numFmtId="281" formatCode="0.00_);[Red]\(0.00\)"/>
    <numFmt numFmtId="282" formatCode="0.000_);[Red]\(0.000\)"/>
    <numFmt numFmtId="284" formatCode="0.00_);[Red]\-0.00\ "/>
    <numFmt numFmtId="286" formatCode="0.00_);[Red]\(0.00\)"/>
    <numFmt numFmtId="294" formatCode="0.0_);[Red]\(0.0\)"/>
    <numFmt numFmtId="296" formatCode="0.00_);[Red]\-0.00\ "/>
    <numFmt numFmtId="303" formatCode="0.00_);[Red]\(0.00\)"/>
    <numFmt numFmtId="304" formatCode="0.00_);[Red]\(0.00\)"/>
    <numFmt numFmtId="307" formatCode="0.0"/>
    <numFmt numFmtId="311" formatCode="0.0000000_);[Red]\-0.0000000\ "/>
    <numFmt numFmtId="314" formatCode="0.00_);[Red]\(0.00\)"/>
    <numFmt numFmtId="315" formatCode="0.00_);[Red]\-0.00\ "/>
    <numFmt numFmtId="319" formatCode="0.00_);[Red]\(0.00\)"/>
    <numFmt numFmtId="345" formatCode="[$-10804]yyyy&quot;年&quot;m&quot;月&quot;d&quot;日&quot;"/>
    <numFmt numFmtId="350" formatCode="0.00_);[Red]\(0.00\)"/>
    <numFmt numFmtId="358" formatCode="0.0000_);[Red]\(0.0000\)"/>
    <numFmt numFmtId="359" formatCode="0.0_);[Red]\(0.0\)"/>
    <numFmt numFmtId="361" formatCode="0.00_);[Red]\(0.00\)"/>
    <numFmt numFmtId="362" formatCode="0.000_);[Red]\(0.000\)"/>
    <numFmt numFmtId="363" formatCode="0.0_);[Red]\(0.0\)"/>
    <numFmt numFmtId="364" formatCode="0.0_);[Red]\(0.0\)"/>
    <numFmt numFmtId="365" formatCode="#,##0"/>
    <numFmt numFmtId="366" formatCode="0.00_);[Red]\(0.00\)"/>
    <numFmt numFmtId="368" formatCode="[$-10804]yyyy&quot;年&quot;m&quot;月&quot;d&quot;日&quot;"/>
    <numFmt numFmtId="372" formatCode="0.0"/>
    <numFmt numFmtId="375" formatCode="[$-10804]yyyy/m/d h:mm"/>
    <numFmt numFmtId="398" formatCode="0.000_);[Red]\(0.000\)"/>
    <numFmt numFmtId="401" formatCode="0.00_);[Red]\(0.00\)"/>
    <numFmt numFmtId="402" formatCode="0.00000"/>
    <numFmt numFmtId="404" formatCode="0.00_);[Red]\-0.00\ "/>
    <numFmt numFmtId="409" formatCode="0.00_);[Red]\-0.00\ "/>
    <numFmt numFmtId="413" formatCode="0.00000"/>
    <numFmt numFmtId="418" formatCode="0.000"/>
    <numFmt numFmtId="425" formatCode="0.00_);[Red]\(0.00\)"/>
    <numFmt numFmtId="429" formatCode="[$-10804]yyyy&quot;年&quot;m&quot;月&quot;d&quot;日&quot;"/>
    <numFmt numFmtId="431" formatCode="0.00_);[Red]\-0.00\ "/>
    <numFmt numFmtId="451" formatCode="0.0000"/>
    <numFmt numFmtId="505" formatCode="0.000"/>
    <numFmt numFmtId="513" formatCode="#,##0%;-#,##0%"/>
    <numFmt numFmtId="519" formatCode="0.00_);[Red]\(0.00\)"/>
    <numFmt numFmtId="526" formatCode="0.000"/>
    <numFmt numFmtId="535" formatCode="#,##0%;-#,##0%"/>
    <numFmt numFmtId="539" formatCode="0.000"/>
    <numFmt numFmtId="551" formatCode="0.0"/>
    <numFmt numFmtId="552" formatCode="0.000"/>
    <numFmt numFmtId="573" formatCode="0.0"/>
    <numFmt numFmtId="584" formatCode="0.00_);[Red]\(0.00\)"/>
    <numFmt numFmtId="588" formatCode="0.00_);[Red]\(0.00\)"/>
    <numFmt numFmtId="592" formatCode="0.00_);[Red]\-0.00\ "/>
    <numFmt numFmtId="610" formatCode="0.0"/>
    <numFmt numFmtId="611" formatCode="0.000"/>
    <numFmt numFmtId="612" formatCode="0.0"/>
    <numFmt numFmtId="621" formatCode="0.00_);[Red]\(0.00\)"/>
    <numFmt numFmtId="623" formatCode="  #,##0.00_);  \-#,##0.00_);  &quot;-&quot; "/>
    <numFmt numFmtId="624" formatCode=" &quot;￥&quot; #,##0.00_); &quot;￥&quot; \-#,##0.00_); &quot;￥&quot; &quot;-&quot; "/>
    <numFmt numFmtId="625" formatCode="#,##0%;-#,##0%"/>
    <numFmt numFmtId="626" formatCode="  #,##0_);  \-#,##0_);  &quot;-&quot; "/>
    <numFmt numFmtId="627" formatCode=" &quot;￥&quot; #,##0_); &quot;￥&quot; \-#,##0_); &quot;￥&quot; &quot;-&quot; 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indexed="64"/>
      <name val="宋体"/>
    </font>
    <font/>
    <font/>
    <font/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/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charset val="134"/>
      <scheme val="none"/>
    </font>
    <font/>
    <font/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  <charset val="0"/>
      <scheme val="minor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8"/>
      <color theme="3"/>
      <name val="宋体"/>
      <charset val="134"/>
      <scheme val="minor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5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3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3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/>
    <font/>
    <font/>
    <font/>
    <font/>
    <font/>
    <font/>
    <font/>
    <font/>
    <font/>
    <font/>
    <font/>
    <font/>
    <font/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/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8"/>
      <color rgb="FF1F497D"/>
      <name val="宋体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5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3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1F497D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color indexed="64"/>
    </font>
  </fonts>
  <fills>
    <fill>
      <patternFill patternType="none"/>
    </fill>
    <fill>
      <patternFill patternType="gray125"/>
    </fill>
    <fill/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4F81BD"/>
        <bgColor rgb="FF4F81BD"/>
      </patternFill>
    </fill>
    <fill>
      <patternFill patternType="solid">
        <fgColor rgb="FFDCE6F2"/>
        <bgColor rgb="FFDCE6F2"/>
      </patternFill>
    </fill>
    <fill>
      <patternFill patternType="solid">
        <fgColor rgb="FFB9CDE5"/>
        <bgColor rgb="FFB9CDE5"/>
      </patternFill>
    </fill>
    <fill>
      <patternFill patternType="solid">
        <fgColor rgb="FF95B3D7"/>
        <bgColor rgb="FF95B3D7"/>
      </patternFill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  <fill>
      <patternFill patternType="solid">
        <fgColor rgb="FFE6B9B8"/>
        <bgColor rgb="FFE6B9B8"/>
      </patternFill>
    </fill>
    <fill>
      <patternFill patternType="solid">
        <fgColor rgb="FFD99694"/>
        <bgColor rgb="FFD99694"/>
      </patternFill>
    </fill>
    <fill>
      <patternFill patternType="solid">
        <fgColor rgb="FF9BBB59"/>
        <bgColor rgb="FF9BBB59"/>
      </patternFill>
    </fill>
    <fill>
      <patternFill patternType="solid">
        <fgColor rgb="FFEBF1DE"/>
        <bgColor rgb="FFEBF1DE"/>
      </patternFill>
    </fill>
    <fill>
      <patternFill patternType="solid">
        <fgColor rgb="FFD7E4BD"/>
        <bgColor rgb="FFD7E4BD"/>
      </patternFill>
    </fill>
    <fill>
      <patternFill patternType="solid">
        <fgColor rgb="FFC3D69B"/>
        <bgColor rgb="FFC3D69B"/>
      </patternFill>
    </fill>
    <fill>
      <patternFill patternType="solid">
        <fgColor rgb="FF8064A2"/>
        <bgColor rgb="FF8064A2"/>
      </patternFill>
    </fill>
    <fill>
      <patternFill patternType="solid">
        <fgColor rgb="FFE6E0EC"/>
        <bgColor rgb="FFE6E0EC"/>
      </patternFill>
    </fill>
    <fill>
      <patternFill patternType="solid">
        <fgColor rgb="FFCCC1DA"/>
        <bgColor rgb="FFCCC1DA"/>
      </patternFill>
    </fill>
    <fill>
      <patternFill patternType="solid">
        <fgColor rgb="FFB3A2C7"/>
        <bgColor rgb="FFB3A2C7"/>
      </patternFill>
    </fill>
    <fill>
      <patternFill patternType="solid">
        <fgColor rgb="FF4BACC6"/>
        <bgColor rgb="FF4BACC6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93CDDD"/>
        <bgColor rgb="FF93CDDD"/>
      </patternFill>
    </fill>
    <fill>
      <patternFill patternType="solid">
        <fgColor rgb="FFF79646"/>
        <bgColor rgb="FFF79646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FAC090"/>
        <bgColor rgb="FFFAC090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/>
    <border/>
    <border>
      <left style="thin"/>
      <right style="thin"/>
      <top/>
      <bottom/>
      <diagonal/>
    </border>
    <border/>
    <border/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 diagonalUp="0" diagonalDown="0">
      <top style="thin">
        <color rgb="FF000000"/>
      </top>
      <bottom style="thin">
        <color rgb="FF000000"/>
      </bottom>
    </border>
    <border/>
    <border/>
    <border/>
    <border/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/>
    <border/>
    <border/>
    <border diagonalUp="0" diagonalDown="0">
      <top style="thin">
        <color rgb="FF4F81BD"/>
      </top>
      <bottom style="double">
        <color rgb="FF4F81BD"/>
      </bottom>
    </border>
    <border/>
    <border/>
    <border/>
    <border/>
    <border diagonalUp="0" diagonalDown="0">
      <left style="thin">
        <color rgb="FF000000"/>
      </left>
      <top style="thin">
        <color rgb="FF000000"/>
      </top>
    </border>
    <border diagonalUp="0" diagonalDown="0">
      <left style="thin">
        <color rgb="FF000000"/>
      </left>
    </border>
    <border diagonalUp="0" diagonalDown="0">
      <left style="thin">
        <color rgb="FF000000"/>
      </left>
      <bottom style="thin">
        <color rgb="FF000000"/>
      </bottom>
    </border>
    <border diagonalUp="0" diagonalDown="0">
      <top style="thin">
        <color rgb="FF000000"/>
      </top>
    </border>
    <border diagonalUp="0" diagonalDown="0"/>
    <border diagonalUp="0" diagonalDown="0">
      <bottom style="thin">
        <color rgb="FF000000"/>
      </bottom>
    </border>
    <border diagonalUp="0" diagonalDown="0">
      <right style="thin">
        <color rgb="FF000000"/>
      </right>
      <top style="thin">
        <color rgb="FF000000"/>
      </top>
    </border>
    <border diagonalUp="0" diagonalDown="0">
      <right style="thin">
        <color rgb="FF000000"/>
      </right>
    </border>
    <border diagonalUp="0" diagonalDown="0"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right style="thin">
        <color rgb="FF000000"/>
      </right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>
      <alignment vertical="top"/>
    </xf>
    <xf numFmtId="168" fontId="0" fillId="0" borderId="0">
      <alignment vertical="center"/>
    </xf>
    <xf numFmtId="169" fontId="0" fillId="0" borderId="0">
      <alignment vertical="center"/>
    </xf>
    <xf numFmtId="165" fontId="0" fillId="0" borderId="0">
      <alignment vertical="center"/>
    </xf>
    <xf numFmtId="166" fontId="0" fillId="0" borderId="0">
      <alignment vertical="center"/>
    </xf>
    <xf numFmtId="167" fontId="0" fillId="0" borderId="0">
      <alignment vertical="center"/>
    </xf>
    <xf numFmtId="164" fontId="16" fillId="0" borderId="0">
      <alignment vertical="center"/>
    </xf>
    <xf numFmtId="164" fontId="17" fillId="0" borderId="0">
      <alignment vertical="center"/>
    </xf>
    <xf numFmtId="164" fontId="0" fillId="10" borderId="10">
      <alignment vertical="center"/>
    </xf>
    <xf numFmtId="164" fontId="18" fillId="0" borderId="0">
      <alignment vertical="center"/>
    </xf>
    <xf numFmtId="164" fontId="19" fillId="0" borderId="0">
      <alignment vertical="center"/>
    </xf>
    <xf numFmtId="164" fontId="20" fillId="0" borderId="0">
      <alignment vertical="center"/>
    </xf>
    <xf numFmtId="164" fontId="21" fillId="0" borderId="11">
      <alignment vertical="center"/>
    </xf>
    <xf numFmtId="164" fontId="22" fillId="0" borderId="11">
      <alignment vertical="center"/>
    </xf>
    <xf numFmtId="164" fontId="23" fillId="0" borderId="12">
      <alignment vertical="center"/>
    </xf>
    <xf numFmtId="164" fontId="23" fillId="0" borderId="0">
      <alignment vertical="center"/>
    </xf>
    <xf numFmtId="164" fontId="24" fillId="11" borderId="13">
      <alignment vertical="center"/>
    </xf>
    <xf numFmtId="164" fontId="25" fillId="12" borderId="14">
      <alignment vertical="center"/>
    </xf>
    <xf numFmtId="164" fontId="26" fillId="12" borderId="13">
      <alignment vertical="center"/>
    </xf>
    <xf numFmtId="164" fontId="27" fillId="13" borderId="15">
      <alignment vertical="center"/>
    </xf>
    <xf numFmtId="164" fontId="28" fillId="0" borderId="16">
      <alignment vertical="center"/>
    </xf>
    <xf numFmtId="164" fontId="29" fillId="0" borderId="17">
      <alignment vertical="center"/>
    </xf>
    <xf numFmtId="164" fontId="30" fillId="14" borderId="0">
      <alignment vertical="center"/>
    </xf>
    <xf numFmtId="164" fontId="31" fillId="15" borderId="0">
      <alignment vertical="center"/>
    </xf>
    <xf numFmtId="164" fontId="32" fillId="16" borderId="0">
      <alignment vertical="center"/>
    </xf>
    <xf numFmtId="164" fontId="33" fillId="17" borderId="0">
      <alignment vertical="center"/>
    </xf>
    <xf numFmtId="164" fontId="34" fillId="18" borderId="0">
      <alignment vertical="center"/>
    </xf>
    <xf numFmtId="164" fontId="34" fillId="19" borderId="0">
      <alignment vertical="center"/>
    </xf>
    <xf numFmtId="164" fontId="33" fillId="20" borderId="0">
      <alignment vertical="center"/>
    </xf>
    <xf numFmtId="164" fontId="33" fillId="21" borderId="0">
      <alignment vertical="center"/>
    </xf>
    <xf numFmtId="164" fontId="34" fillId="22" borderId="0">
      <alignment vertical="center"/>
    </xf>
    <xf numFmtId="164" fontId="34" fillId="23" borderId="0">
      <alignment vertical="center"/>
    </xf>
    <xf numFmtId="164" fontId="33" fillId="24" borderId="0">
      <alignment vertical="center"/>
    </xf>
    <xf numFmtId="164" fontId="33" fillId="25" borderId="0">
      <alignment vertical="center"/>
    </xf>
    <xf numFmtId="164" fontId="34" fillId="26" borderId="0">
      <alignment vertical="center"/>
    </xf>
    <xf numFmtId="164" fontId="34" fillId="27" borderId="0">
      <alignment vertical="center"/>
    </xf>
    <xf numFmtId="164" fontId="33" fillId="28" borderId="0">
      <alignment vertical="center"/>
    </xf>
    <xf numFmtId="164" fontId="33" fillId="29" borderId="0">
      <alignment vertical="center"/>
    </xf>
    <xf numFmtId="164" fontId="34" fillId="30" borderId="0">
      <alignment vertical="center"/>
    </xf>
    <xf numFmtId="164" fontId="34" fillId="31" borderId="0">
      <alignment vertical="center"/>
    </xf>
    <xf numFmtId="164" fontId="33" fillId="32" borderId="0">
      <alignment vertical="center"/>
    </xf>
    <xf numFmtId="164" fontId="33" fillId="33" borderId="0">
      <alignment vertical="center"/>
    </xf>
    <xf numFmtId="164" fontId="34" fillId="34" borderId="0">
      <alignment vertical="center"/>
    </xf>
    <xf numFmtId="164" fontId="34" fillId="35" borderId="0">
      <alignment vertical="center"/>
    </xf>
    <xf numFmtId="164" fontId="33" fillId="36" borderId="0">
      <alignment vertical="center"/>
    </xf>
    <xf numFmtId="164" fontId="33" fillId="37" borderId="0">
      <alignment vertical="center"/>
    </xf>
    <xf numFmtId="164" fontId="34" fillId="38" borderId="0">
      <alignment vertical="center"/>
    </xf>
    <xf numFmtId="164" fontId="34" fillId="39" borderId="0">
      <alignment vertical="center"/>
    </xf>
    <xf numFmtId="164" fontId="33" fillId="40" borderId="0">
      <alignment vertical="center"/>
    </xf>
    <xf numFmtId="164" fontId="0" fillId="0" borderId="0">
      <alignment vertical="bottom"/>
    </xf>
    <xf numFmtId="164" fontId="0" fillId="0" borderId="0">
      <alignment vertical="bottom"/>
    </xf>
  </cellStyleXfs>
  <cellXfs count="454">
    <xf numFmtId="0" fontId="0" fillId="0" borderId="0" xfId="0" applyNumberFormat="1" applyFont="1" applyFill="1" applyBorder="1" applyAlignment="1" applyProtection="1">
      <alignment vertical="top"/>
    </xf>
    <xf numFmtId="240" fontId="0" fillId="0" borderId="0" xfId="0" applyNumberFormat="1" applyFont="1" applyFill="1" applyBorder="1" applyAlignment="1" applyProtection="1">
      <alignment vertical="bottom"/>
    </xf>
    <xf numFmtId="0" fontId="0" fillId="0" borderId="0" xfId="0"/>
    <xf numFmtId="0" fontId="0" fillId="0" borderId="0" xfId="0"/>
    <xf numFmtId="0" fontId="0" fillId="0" borderId="0" xfId="0"/>
    <xf numFmtId="244" fontId="0" fillId="0" borderId="0" xfId="0" applyNumberFormat="1" applyFont="1" applyFill="1" applyBorder="1" applyAlignment="1" applyProtection="1">
      <alignment vertical="bottom"/>
    </xf>
    <xf numFmtId="248" fontId="5" fillId="4" borderId="1" xfId="0" applyNumberFormat="1" applyFont="1" applyFill="1" applyBorder="1" applyAlignment="1" applyProtection="1">
      <alignment vertical="center" wrapText="1"/>
    </xf>
    <xf numFmtId="0" fontId="0" fillId="0" borderId="0" xfId="0"/>
    <xf numFmtId="245" fontId="0" fillId="0" borderId="1" xfId="0" applyNumberFormat="1" applyFont="1" applyFill="1" applyBorder="1" applyAlignment="1" applyProtection="1">
      <alignment vertical="bottom"/>
    </xf>
    <xf numFmtId="246" fontId="5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250" fontId="0" fillId="0" borderId="0" xfId="0" applyNumberFormat="1" applyFont="1" applyFill="1" applyBorder="1" applyAlignment="1" applyProtection="1">
      <alignment vertical="bottom"/>
    </xf>
    <xf numFmtId="253" fontId="5" fillId="4" borderId="1" xfId="0" applyNumberFormat="1" applyFont="1" applyFill="1" applyBorder="1" applyAlignment="1" applyProtection="1">
      <alignment vertical="center" wrapText="1"/>
    </xf>
    <xf numFmtId="0" fontId="0" fillId="0" borderId="0" xfId="0"/>
    <xf numFmtId="252" fontId="5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247" fontId="5" fillId="3" borderId="1" xfId="0" applyNumberFormat="1" applyFont="1" applyFill="1" applyBorder="1" applyAlignment="1" applyProtection="1">
      <alignment vertical="center" wrapText="1"/>
    </xf>
    <xf numFmtId="0" fontId="0" fillId="0" borderId="0" xfId="0"/>
    <xf numFmtId="260" fontId="59" fillId="0" borderId="0" xfId="0" applyNumberFormat="1" applyFont="1" applyFill="1" applyBorder="1" applyAlignment="1" applyProtection="1">
      <alignment horizontal="center" vertical="bottom"/>
    </xf>
    <xf numFmtId="0" fontId="0" fillId="0" borderId="0" xfId="0"/>
    <xf numFmtId="257" fontId="9" fillId="0" borderId="1" xfId="0" applyNumberFormat="1" applyFont="1" applyFill="1" applyBorder="1" applyAlignment="1" applyProtection="1">
      <alignment horizontal="center" vertical="center" wrapText="1"/>
    </xf>
    <xf numFmtId="2" fontId="59" fillId="0" borderId="0" xfId="0" applyNumberFormat="1" applyFont="1" applyFill="1" applyBorder="1" applyAlignment="1" applyProtection="1">
      <alignment horizontal="center" vertical="bottom"/>
    </xf>
    <xf numFmtId="2" fontId="5" fillId="0" borderId="2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264" fontId="5" fillId="3" borderId="1" xfId="0" applyNumberFormat="1" applyFont="1" applyFill="1" applyBorder="1" applyAlignment="1" applyProtection="1">
      <alignment vertical="center" wrapText="1"/>
    </xf>
    <xf numFmtId="251" fontId="0" fillId="0" borderId="1" xfId="0" applyNumberFormat="1" applyFont="1" applyFill="1" applyBorder="1" applyAlignment="1" applyProtection="1">
      <alignment vertical="bottom"/>
    </xf>
    <xf numFmtId="2" fontId="0" fillId="0" borderId="0" xfId="0" applyNumberFormat="1" applyFont="1" applyFill="1" applyBorder="1" applyAlignment="1" applyProtection="1">
      <alignment vertical="bottom"/>
    </xf>
    <xf numFmtId="266" fontId="0" fillId="0" borderId="0" xfId="0" applyNumberFormat="1" applyFont="1" applyFill="1" applyBorder="1" applyAlignment="1" applyProtection="1">
      <alignment vertical="bottom"/>
    </xf>
    <xf numFmtId="0" fontId="0" fillId="0" borderId="0" xfId="0"/>
    <xf numFmtId="269" fontId="5" fillId="4" borderId="1" xfId="0" applyNumberFormat="1" applyFont="1" applyFill="1" applyBorder="1" applyAlignment="1" applyProtection="1">
      <alignment horizontal="center" vertical="center" wrapText="1"/>
    </xf>
    <xf numFmtId="267" fontId="59" fillId="0" borderId="1" xfId="0" applyNumberFormat="1" applyFont="1" applyFill="1" applyBorder="1" applyAlignment="1" applyProtection="1">
      <alignment vertical="bottom"/>
    </xf>
    <xf numFmtId="270" fontId="0" fillId="0" borderId="0" xfId="0" applyNumberFormat="1" applyFont="1" applyFill="1" applyBorder="1" applyAlignment="1" applyProtection="1">
      <alignment vertical="bottom"/>
    </xf>
    <xf numFmtId="272" fontId="12" fillId="0" borderId="0" xfId="0" applyNumberFormat="1" applyFont="1" applyFill="1" applyBorder="1" applyAlignment="1" applyProtection="1">
      <alignment vertical="bottom"/>
    </xf>
    <xf numFmtId="274" fontId="59" fillId="0" borderId="1" xfId="0" applyNumberFormat="1" applyFont="1" applyFill="1" applyBorder="1" applyAlignment="1" applyProtection="1">
      <alignment vertical="bottom"/>
    </xf>
    <xf numFmtId="0" fontId="0" fillId="0" borderId="0" xfId="0"/>
    <xf numFmtId="2" fontId="5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59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bottom"/>
    </xf>
    <xf numFmtId="0" fontId="0" fillId="0" borderId="0" xfId="0"/>
    <xf numFmtId="282" fontId="59" fillId="0" borderId="0" xfId="0" applyNumberFormat="1" applyFont="1" applyFill="1" applyBorder="1" applyAlignment="1" applyProtection="1">
      <alignment vertical="bottom"/>
    </xf>
    <xf numFmtId="0" fontId="9" fillId="0" borderId="1" xfId="0" applyNumberFormat="1" applyFont="1" applyFill="1" applyBorder="1" applyAlignment="1" applyProtection="1">
      <alignment vertical="center" wrapText="1"/>
    </xf>
    <xf numFmtId="279" fontId="9" fillId="0" borderId="1" xfId="0" applyNumberFormat="1" applyFont="1" applyFill="1" applyBorder="1" applyAlignment="1" applyProtection="1">
      <alignment vertical="center" wrapText="1"/>
    </xf>
    <xf numFmtId="0" fontId="12" fillId="0" borderId="0" xfId="0" applyNumberFormat="1" applyFont="1" applyFill="1" applyBorder="1" applyAlignment="1" applyProtection="1">
      <alignment vertical="bottom"/>
    </xf>
    <xf numFmtId="0" fontId="11" fillId="0" borderId="0" xfId="0" applyNumberFormat="1" applyFont="1" applyFill="1" applyBorder="1" applyAlignment="1" applyProtection="1">
      <alignment vertical="bottom"/>
    </xf>
    <xf numFmtId="0" fontId="9" fillId="0" borderId="1" xfId="0" applyNumberFormat="1" applyFont="1" applyFill="1" applyBorder="1" applyAlignment="1" applyProtection="1">
      <alignment vertical="center" wrapText="1"/>
    </xf>
    <xf numFmtId="0" fontId="51" fillId="0" borderId="38" xfId="0" applyNumberFormat="1" applyFont="1" applyFill="1" applyBorder="1" applyAlignment="1" applyProtection="1">
      <alignment horizontal="left" vertical="center" wrapText="1"/>
    </xf>
    <xf numFmtId="0" fontId="59" fillId="0" borderId="1" xfId="0" applyNumberFormat="1" applyFont="1" applyFill="1" applyBorder="1" applyAlignment="1" applyProtection="1">
      <alignment vertical="bottom"/>
    </xf>
    <xf numFmtId="0" fontId="0" fillId="0" borderId="25" xfId="0" applyNumberFormat="1" applyFont="1" applyFill="1" applyBorder="1" applyAlignment="1" applyProtection="1">
      <alignment horizontal="center" vertical="center" wrapText="1"/>
    </xf>
    <xf numFmtId="262" fontId="5" fillId="0" borderId="1" xfId="0" applyNumberFormat="1" applyFont="1" applyFill="1" applyBorder="1" applyAlignment="1" applyProtection="1">
      <alignment horizontal="center" vertical="center" wrapText="1"/>
    </xf>
    <xf numFmtId="2" fontId="5" fillId="3" borderId="2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0" fillId="0" borderId="0" xfId="0"/>
    <xf numFmtId="242" fontId="59" fillId="0" borderId="1" xfId="0" applyNumberFormat="1" applyFont="1" applyFill="1" applyBorder="1" applyAlignment="1" applyProtection="1">
      <alignment horizontal="center" vertical="center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255" fontId="9" fillId="0" borderId="1" xfId="0" applyNumberFormat="1" applyFont="1" applyFill="1" applyBorder="1" applyAlignment="1" applyProtection="1">
      <alignment horizontal="center" vertical="center" wrapText="1"/>
    </xf>
    <xf numFmtId="592" fontId="0" fillId="0" borderId="34" xfId="0" applyNumberFormat="1" applyFont="1" applyFill="1" applyBorder="1" applyAlignment="1" applyProtection="1">
      <alignment horizontal="center" vertical="center" wrapText="1"/>
    </xf>
    <xf numFmtId="2" fontId="5" fillId="0" borderId="1" xfId="0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</xf>
    <xf numFmtId="304" fontId="5" fillId="3" borderId="25" xfId="0" applyNumberFormat="1" applyFont="1" applyFill="1" applyBorder="1" applyAlignment="1" applyProtection="1">
      <alignment horizontal="center" vertical="center" wrapText="1"/>
    </xf>
    <xf numFmtId="2" fontId="5" fillId="4" borderId="1" xfId="0" applyNumberFormat="1" applyFont="1" applyFill="1" applyBorder="1" applyAlignment="1" applyProtection="1">
      <alignment horizontal="center" vertical="center" wrapText="1"/>
    </xf>
    <xf numFmtId="49" fontId="59" fillId="0" borderId="0" xfId="0" applyNumberFormat="1" applyFont="1" applyFill="1" applyBorder="1" applyAlignment="1" applyProtection="1">
      <alignment vertical="bottom"/>
    </xf>
    <xf numFmtId="0" fontId="54" fillId="0" borderId="44" xfId="0" applyNumberFormat="1" applyFont="1" applyFill="1" applyBorder="1" applyAlignment="1" applyProtection="1">
      <alignment horizontal="center" vertical="center" wrapText="1"/>
    </xf>
    <xf numFmtId="2" fontId="59" fillId="0" borderId="1" xfId="0" applyNumberFormat="1" applyFont="1" applyFill="1" applyBorder="1" applyAlignment="1" applyProtection="1">
      <alignment horizontal="center" vertical="center"/>
    </xf>
    <xf numFmtId="304" fontId="5" fillId="3" borderId="20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bottom"/>
    </xf>
    <xf numFmtId="296" fontId="5" fillId="3" borderId="1" xfId="0" applyNumberFormat="1" applyFont="1" applyFill="1" applyBorder="1" applyAlignment="1" applyProtection="1">
      <alignment horizontal="center" vertical="center" wrapText="1"/>
    </xf>
    <xf numFmtId="49" fontId="59" fillId="0" borderId="1" xfId="0" applyNumberFormat="1" applyFont="1" applyFill="1" applyBorder="1" applyAlignment="1" applyProtection="1">
      <alignment horizontal="center" vertical="bottom"/>
    </xf>
    <xf numFmtId="11" fontId="59" fillId="0" borderId="0" xfId="0" applyNumberFormat="1" applyFont="1" applyFill="1" applyBorder="1" applyAlignment="1" applyProtection="1">
      <alignment vertical="bottom"/>
    </xf>
    <xf numFmtId="49" fontId="59" fillId="0" borderId="0" xfId="0" applyNumberFormat="1" applyFont="1" applyFill="1" applyBorder="1" applyAlignment="1" applyProtection="1">
      <alignment horizontal="center" vertical="bottom"/>
    </xf>
    <xf numFmtId="0" fontId="5" fillId="3" borderId="5" xfId="0" applyNumberFormat="1" applyFont="1" applyFill="1" applyBorder="1" applyAlignment="1" applyProtection="1">
      <alignment horizontal="center" vertical="center" wrapText="1"/>
    </xf>
    <xf numFmtId="311" fontId="59" fillId="0" borderId="0" xfId="0" applyNumberFormat="1" applyFont="1" applyFill="1" applyBorder="1" applyAlignment="1" applyProtection="1">
      <alignment vertical="bottom"/>
    </xf>
    <xf numFmtId="0" fontId="59" fillId="0" borderId="0" xfId="0" applyNumberFormat="1" applyFont="1" applyFill="1" applyBorder="1" applyAlignment="1" applyProtection="1">
      <alignment vertical="bottom"/>
    </xf>
    <xf numFmtId="0" fontId="5" fillId="3" borderId="1" xfId="0" applyNumberFormat="1" applyFont="1" applyFill="1" applyBorder="1" applyAlignment="1" applyProtection="1">
      <alignment vertical="center" wrapText="1"/>
    </xf>
    <xf numFmtId="0" fontId="59" fillId="0" borderId="0" xfId="0" applyNumberFormat="1" applyFont="1" applyFill="1" applyBorder="1" applyAlignment="1" applyProtection="1">
      <alignment horizontal="center" vertical="bottom"/>
    </xf>
    <xf numFmtId="0" fontId="10" fillId="0" borderId="1" xfId="0" applyNumberFormat="1" applyFont="1" applyFill="1" applyBorder="1" applyAlignment="1" applyProtection="1">
      <alignment vertical="center" wrapText="1"/>
    </xf>
    <xf numFmtId="294" fontId="59" fillId="0" borderId="0" xfId="0" applyNumberFormat="1" applyFont="1" applyFill="1" applyBorder="1" applyAlignment="1" applyProtection="1">
      <alignment vertical="bottom"/>
    </xf>
    <xf numFmtId="0" fontId="0" fillId="0" borderId="43" xfId="0" applyNumberFormat="1" applyFont="1" applyFill="1" applyBorder="1" applyAlignment="1" applyProtection="1">
      <alignment horizontal="center" vertical="bottom"/>
    </xf>
    <xf numFmtId="0" fontId="0" fillId="8" borderId="1" xfId="0" applyNumberFormat="1" applyFont="1" applyFill="1" applyBorder="1" applyAlignment="1" applyProtection="1">
      <alignment horizontal="center" vertical="center"/>
    </xf>
    <xf numFmtId="402" fontId="5" fillId="3" borderId="1" xfId="0" applyNumberFormat="1" applyFont="1" applyFill="1" applyBorder="1" applyAlignment="1" applyProtection="1">
      <alignment horizontal="center" vertical="center" wrapText="1"/>
    </xf>
    <xf numFmtId="284" fontId="59" fillId="0" borderId="0" xfId="0" applyNumberFormat="1" applyFont="1" applyFill="1" applyBorder="1" applyAlignment="1" applyProtection="1">
      <alignment horizontal="center" vertical="center"/>
    </xf>
    <xf numFmtId="0" fontId="0" fillId="5" borderId="25" xfId="0" applyNumberFormat="1" applyFont="1" applyFill="1" applyBorder="1" applyAlignment="1" applyProtection="1">
      <alignment horizontal="center" vertical="center" wrapText="1"/>
    </xf>
    <xf numFmtId="286" fontId="59" fillId="0" borderId="1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vertical="bottom" wrapText="1"/>
    </xf>
    <xf numFmtId="0" fontId="7" fillId="0" borderId="0" xfId="0" applyNumberFormat="1" applyFont="1" applyFill="1" applyBorder="1" applyAlignment="1" applyProtection="1">
      <alignment vertical="bottom" wrapText="1"/>
    </xf>
    <xf numFmtId="0" fontId="54" fillId="0" borderId="43" xfId="0" applyNumberFormat="1" applyFont="1" applyFill="1" applyBorder="1" applyAlignment="1" applyProtection="1">
      <alignment horizontal="center" vertical="center" wrapText="1"/>
    </xf>
    <xf numFmtId="0" fontId="5" fillId="0" borderId="44" xfId="0" applyNumberFormat="1" applyFont="1" applyFill="1" applyBorder="1" applyAlignment="1" applyProtection="1">
      <alignment horizontal="center" vertical="center" wrapText="1"/>
    </xf>
    <xf numFmtId="0" fontId="12" fillId="0" borderId="9" xfId="0" applyNumberFormat="1" applyFont="1" applyFill="1" applyBorder="1" applyAlignment="1" applyProtection="1">
      <alignment horizontal="left" vertical="top"/>
    </xf>
    <xf numFmtId="398" fontId="5" fillId="3" borderId="8" xfId="0" applyNumberFormat="1" applyFont="1" applyFill="1" applyBorder="1" applyAlignment="1" applyProtection="1">
      <alignment horizontal="center" vertical="center" wrapText="1"/>
    </xf>
    <xf numFmtId="0" fontId="5" fillId="0" borderId="45" xfId="0" applyNumberFormat="1" applyFont="1" applyFill="1" applyBorder="1" applyAlignment="1" applyProtection="1">
      <alignment horizontal="center" vertical="center" wrapText="1"/>
    </xf>
    <xf numFmtId="0" fontId="54" fillId="0" borderId="44" xfId="0" applyNumberFormat="1" applyFont="1" applyFill="1" applyBorder="1" applyAlignment="1" applyProtection="1">
      <alignment horizontal="center" vertical="center" wrapText="1"/>
    </xf>
    <xf numFmtId="2" fontId="5" fillId="3" borderId="2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49" fontId="0" fillId="0" borderId="1" xfId="0" applyNumberFormat="1" applyFont="1" applyFill="1" applyBorder="1" applyAlignment="1" applyProtection="1">
      <alignment vertical="bottom" wrapText="1"/>
    </xf>
    <xf numFmtId="0" fontId="5" fillId="0" borderId="44" xfId="0" applyNumberFormat="1" applyFont="1" applyFill="1" applyBorder="1" applyAlignment="1" applyProtection="1">
      <alignment horizontal="center" vertical="center" wrapText="1"/>
    </xf>
    <xf numFmtId="0" fontId="5" fillId="0" borderId="45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bottom"/>
    </xf>
    <xf numFmtId="0" fontId="57" fillId="0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50" fillId="5" borderId="1" xfId="0" applyNumberFormat="1" applyFont="1" applyFill="1" applyBorder="1" applyAlignment="1" applyProtection="1">
      <alignment horizontal="left" vertical="center" wrapText="1"/>
    </xf>
    <xf numFmtId="0" fontId="0" fillId="0" borderId="0" xfId="0"/>
    <xf numFmtId="0" fontId="0" fillId="0" borderId="0" xfId="0" applyNumberFormat="1" applyFont="1" applyFill="1" applyBorder="1" applyAlignment="1" applyProtection="1">
      <alignment vertical="bottom"/>
    </xf>
    <xf numFmtId="345" fontId="0" fillId="0" borderId="0" xfId="0" applyNumberFormat="1" applyFont="1" applyFill="1" applyBorder="1" applyAlignment="1" applyProtection="1">
      <alignment vertical="bottom"/>
    </xf>
    <xf numFmtId="0" fontId="54" fillId="0" borderId="41" xfId="0" applyNumberFormat="1" applyFont="1" applyFill="1" applyBorder="1" applyAlignment="1" applyProtection="1">
      <alignment horizontal="center" vertical="center" wrapText="1"/>
    </xf>
    <xf numFmtId="368" fontId="0" fillId="0" borderId="0" xfId="0" applyNumberFormat="1" applyFont="1" applyFill="1" applyBorder="1" applyAlignment="1" applyProtection="1">
      <alignment horizontal="left" vertical="bottom"/>
    </xf>
    <xf numFmtId="0" fontId="59" fillId="0" borderId="0" xfId="0" applyNumberFormat="1" applyFont="1" applyFill="1" applyBorder="1" applyAlignment="1" applyProtection="1">
      <alignment vertical="bottom"/>
    </xf>
    <xf numFmtId="0" fontId="0" fillId="5" borderId="0" xfId="0" applyNumberFormat="1" applyFont="1" applyFill="1" applyBorder="1" applyAlignment="1" applyProtection="1">
      <alignment horizontal="left" vertical="center"/>
    </xf>
    <xf numFmtId="366" fontId="55" fillId="8" borderId="1" xfId="0" applyNumberFormat="1" applyFont="1" applyFill="1" applyBorder="1" applyAlignment="1" applyProtection="1">
      <alignment horizontal="center" vertical="center" wrapText="1"/>
    </xf>
    <xf numFmtId="0" fontId="55" fillId="8" borderId="1" xfId="0" applyNumberFormat="1" applyFont="1" applyFill="1" applyBorder="1" applyAlignment="1" applyProtection="1">
      <alignment horizontal="center" vertical="center" wrapText="1"/>
    </xf>
    <xf numFmtId="0" fontId="0" fillId="5" borderId="1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0" fontId="50" fillId="8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bottom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49" fontId="62" fillId="8" borderId="1" xfId="0" applyNumberFormat="1" applyFont="1" applyFill="1" applyBorder="1" applyAlignment="1" applyProtection="1">
      <alignment horizontal="center" vertical="center" wrapText="1"/>
    </xf>
    <xf numFmtId="359" fontId="0" fillId="8" borderId="1" xfId="0" applyNumberFormat="1" applyFont="1" applyFill="1" applyBorder="1" applyAlignment="1" applyProtection="1">
      <alignment horizontal="center" vertical="bottom"/>
    </xf>
    <xf numFmtId="2" fontId="57" fillId="8" borderId="1" xfId="0" applyNumberFormat="1" applyFont="1" applyFill="1" applyBorder="1" applyAlignment="1" applyProtection="1">
      <alignment horizontal="center" vertical="center" wrapText="1"/>
    </xf>
    <xf numFmtId="361" fontId="57" fillId="8" borderId="1" xfId="0" applyNumberFormat="1" applyFont="1" applyFill="1" applyBorder="1" applyAlignment="1" applyProtection="1">
      <alignment horizontal="center" vertical="center" wrapText="1"/>
    </xf>
    <xf numFmtId="363" fontId="0" fillId="8" borderId="1" xfId="0" applyNumberFormat="1" applyFont="1" applyFill="1" applyBorder="1" applyAlignment="1" applyProtection="1">
      <alignment horizontal="center" vertical="center"/>
    </xf>
    <xf numFmtId="364" fontId="57" fillId="8" borderId="1" xfId="0" applyNumberFormat="1" applyFont="1" applyFill="1" applyBorder="1" applyAlignment="1" applyProtection="1">
      <alignment horizontal="center" vertical="center" wrapText="1"/>
    </xf>
    <xf numFmtId="0" fontId="59" fillId="8" borderId="8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59" fillId="0" borderId="1" xfId="0" applyNumberFormat="1" applyFont="1" applyFill="1" applyBorder="1" applyAlignment="1" applyProtection="1">
      <alignment horizontal="center" vertical="bottom"/>
    </xf>
    <xf numFmtId="358" fontId="0" fillId="8" borderId="1" xfId="0" applyNumberFormat="1" applyFont="1" applyFill="1" applyBorder="1" applyAlignment="1" applyProtection="1">
      <alignment horizontal="center" vertical="bottom"/>
    </xf>
    <xf numFmtId="315" fontId="59" fillId="0" borderId="0" xfId="0" applyNumberFormat="1" applyFont="1" applyFill="1" applyBorder="1" applyAlignment="1" applyProtection="1">
      <alignment vertical="bottom"/>
    </xf>
    <xf numFmtId="0" fontId="0" fillId="7" borderId="1" xfId="0" applyNumberFormat="1" applyFont="1" applyFill="1" applyBorder="1" applyAlignment="1" applyProtection="1">
      <alignment vertical="bottom"/>
    </xf>
    <xf numFmtId="49" fontId="60" fillId="0" borderId="1" xfId="0" applyNumberFormat="1" applyFont="1" applyFill="1" applyBorder="1" applyAlignment="1" applyProtection="1">
      <alignment horizontal="center" vertical="center" wrapText="1"/>
    </xf>
    <xf numFmtId="0" fontId="60" fillId="0" borderId="1" xfId="0" applyNumberFormat="1" applyFont="1" applyFill="1" applyBorder="1" applyAlignment="1" applyProtection="1">
      <alignment horizontal="center" vertical="center" wrapText="1"/>
    </xf>
    <xf numFmtId="0" fontId="5" fillId="0" borderId="43" xfId="0" applyNumberFormat="1" applyFont="1" applyFill="1" applyBorder="1" applyAlignment="1" applyProtection="1">
      <alignment horizontal="center" vertical="center" wrapText="1"/>
    </xf>
    <xf numFmtId="362" fontId="57" fillId="8" borderId="1" xfId="0" applyNumberFormat="1" applyFont="1" applyFill="1" applyBorder="1" applyAlignment="1" applyProtection="1">
      <alignment horizontal="center" vertical="center" wrapText="1"/>
    </xf>
    <xf numFmtId="345" fontId="0" fillId="0" borderId="0" xfId="0" applyNumberFormat="1" applyFont="1" applyFill="1" applyBorder="1" applyAlignment="1" applyProtection="1">
      <alignment vertical="bottom"/>
    </xf>
    <xf numFmtId="0" fontId="59" fillId="8" borderId="25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8" borderId="1" xfId="0" applyNumberFormat="1" applyFont="1" applyFill="1" applyBorder="1" applyAlignment="1" applyProtection="1">
      <alignment horizontal="center" vertical="bottom"/>
    </xf>
    <xf numFmtId="49" fontId="0" fillId="0" borderId="0" xfId="0" applyNumberFormat="1" applyFont="1" applyFill="1" applyBorder="1" applyAlignment="1" applyProtection="1">
      <alignment horizontal="center" vertical="center"/>
    </xf>
    <xf numFmtId="314" fontId="59" fillId="0" borderId="0" xfId="0" applyNumberFormat="1" applyFont="1" applyFill="1" applyBorder="1" applyAlignment="1" applyProtection="1">
      <alignment vertical="bottom"/>
    </xf>
    <xf numFmtId="0" fontId="0" fillId="5" borderId="0" xfId="0" applyNumberFormat="1" applyFont="1" applyFill="1" applyBorder="1" applyAlignment="1" applyProtection="1">
      <alignment horizontal="left" vertical="bottom"/>
    </xf>
    <xf numFmtId="0" fontId="0" fillId="0" borderId="5" xfId="0" applyNumberFormat="1" applyFont="1" applyFill="1" applyBorder="1" applyAlignment="1" applyProtection="1">
      <alignment horizontal="center" vertical="bottom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59" fillId="8" borderId="2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vertical="bottom"/>
    </xf>
    <xf numFmtId="0" fontId="0" fillId="0" borderId="1" xfId="0" applyNumberFormat="1" applyFont="1" applyFill="1" applyBorder="1" applyAlignment="1" applyProtection="1">
      <alignment horizontal="left" vertical="bottom"/>
    </xf>
    <xf numFmtId="526" fontId="49" fillId="0" borderId="45" xfId="0" applyNumberFormat="1" applyFont="1" applyFill="1" applyBorder="1" applyAlignment="1" applyProtection="1">
      <alignment horizontal="center" vertical="center" wrapText="1"/>
    </xf>
    <xf numFmtId="2" fontId="54" fillId="0" borderId="40" xfId="0" applyNumberFormat="1" applyFont="1" applyFill="1" applyBorder="1" applyAlignment="1" applyProtection="1">
      <alignment horizontal="center" vertical="center" wrapText="1"/>
    </xf>
    <xf numFmtId="2" fontId="54" fillId="0" borderId="37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49" fontId="0" fillId="8" borderId="1" xfId="0" applyNumberFormat="1" applyFont="1" applyFill="1" applyBorder="1" applyAlignment="1" applyProtection="1">
      <alignment horizontal="center" vertical="bottom"/>
    </xf>
    <xf numFmtId="2" fontId="54" fillId="0" borderId="39" xfId="0" applyNumberFormat="1" applyFont="1" applyFill="1" applyBorder="1" applyAlignment="1" applyProtection="1">
      <alignment horizontal="center" vertical="center" wrapText="1"/>
    </xf>
    <xf numFmtId="0" fontId="62" fillId="0" borderId="41" xfId="0" applyNumberFormat="1" applyFont="1" applyFill="1" applyBorder="1" applyAlignment="1" applyProtection="1">
      <alignment vertical="center" wrapText="1"/>
    </xf>
    <xf numFmtId="0" fontId="54" fillId="0" borderId="40" xfId="0" applyNumberFormat="1" applyFont="1" applyFill="1" applyBorder="1" applyAlignment="1" applyProtection="1">
      <alignment horizontal="center" vertical="center" wrapText="1"/>
    </xf>
    <xf numFmtId="0" fontId="51" fillId="0" borderId="34" xfId="0" applyNumberFormat="1" applyFont="1" applyFill="1" applyBorder="1" applyAlignment="1" applyProtection="1">
      <alignment horizontal="left" vertical="center" wrapText="1"/>
    </xf>
    <xf numFmtId="0" fontId="54" fillId="0" borderId="38" xfId="0" applyNumberFormat="1" applyFont="1" applyFill="1" applyBorder="1" applyAlignment="1" applyProtection="1">
      <alignment horizontal="center" vertical="center" wrapText="1"/>
    </xf>
    <xf numFmtId="451" fontId="0" fillId="5" borderId="40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Alignment="1" applyProtection="1">
      <alignment vertical="top"/>
      <protection locked="1"/>
    </xf>
    <xf numFmtId="0" fontId="51" fillId="0" borderId="39" xfId="0" applyNumberFormat="1" applyFont="1" applyFill="1" applyBorder="1" applyAlignment="1" applyProtection="1">
      <alignment horizontal="left" vertical="center" wrapText="1"/>
    </xf>
    <xf numFmtId="0" fontId="0" fillId="0" borderId="8" xfId="0" applyNumberFormat="1" applyFont="1" applyFill="1" applyBorder="1" applyAlignment="1" applyProtection="1">
      <alignment horizontal="center" vertical="bottom"/>
    </xf>
    <xf numFmtId="0" fontId="5" fillId="4" borderId="5" xfId="0" applyNumberFormat="1" applyFont="1" applyFill="1" applyBorder="1" applyAlignment="1" applyProtection="1">
      <alignment horizontal="center" vertical="center" wrapText="1"/>
    </xf>
    <xf numFmtId="271" fontId="59" fillId="0" borderId="1" xfId="0" applyNumberFormat="1" applyFont="1" applyFill="1" applyBorder="1" applyAlignment="1" applyProtection="1">
      <alignment vertical="bottom"/>
    </xf>
    <xf numFmtId="2" fontId="0" fillId="5" borderId="8" xfId="0" applyNumberFormat="1" applyFont="1" applyFill="1" applyBorder="1" applyAlignment="1" applyProtection="1">
      <alignment horizontal="center" vertical="center" wrapText="1"/>
    </xf>
    <xf numFmtId="307" fontId="59" fillId="0" borderId="1" xfId="0" applyNumberFormat="1" applyFont="1" applyFill="1" applyBorder="1" applyAlignment="1" applyProtection="1">
      <alignment horizontal="center" vertical="bottom"/>
    </xf>
    <xf numFmtId="259" fontId="5" fillId="3" borderId="1" xfId="0" applyNumberFormat="1" applyFont="1" applyFill="1" applyBorder="1" applyAlignment="1" applyProtection="1">
      <alignment horizontal="center" vertical="center" wrapText="1"/>
    </xf>
    <xf numFmtId="0" fontId="59" fillId="0" borderId="1" xfId="0" applyNumberFormat="1" applyFont="1" applyFill="1" applyBorder="1" applyAlignment="1" applyProtection="1">
      <alignment vertical="bottom"/>
    </xf>
    <xf numFmtId="612" fontId="50" fillId="0" borderId="1" xfId="0" applyNumberFormat="1" applyFont="1" applyFill="1" applyBorder="1" applyAlignment="1" applyProtection="1">
      <alignment horizontal="center" vertical="center" wrapText="1"/>
    </xf>
    <xf numFmtId="0" fontId="54" fillId="0" borderId="36" xfId="0" applyNumberFormat="1" applyFont="1" applyFill="1" applyBorder="1" applyAlignment="1" applyProtection="1">
      <alignment horizontal="left" vertical="center" wrapText="1"/>
    </xf>
    <xf numFmtId="0" fontId="54" fillId="0" borderId="45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5" fillId="0" borderId="42" xfId="0" applyNumberFormat="1" applyFont="1" applyFill="1" applyBorder="1" applyAlignment="1" applyProtection="1">
      <alignment horizontal="center" vertical="center" wrapText="1"/>
    </xf>
    <xf numFmtId="0" fontId="0" fillId="0" borderId="25" xfId="0" applyNumberFormat="1" applyFont="1" applyFill="1" applyBorder="1" applyAlignment="1" applyProtection="1">
      <alignment horizontal="center" vertical="center" wrapText="1"/>
    </xf>
    <xf numFmtId="535" fontId="0" fillId="0" borderId="45" xfId="0" applyNumberFormat="1" applyFont="1" applyFill="1" applyBorder="1" applyAlignment="1" applyProtection="1">
      <alignment horizontal="center" vertical="center" wrapText="1"/>
    </xf>
    <xf numFmtId="0" fontId="54" fillId="0" borderId="1" xfId="0" applyNumberFormat="1" applyFont="1" applyFill="1" applyBorder="1" applyAlignment="1" applyProtection="1">
      <alignment horizontal="center" vertical="center" wrapText="1"/>
    </xf>
    <xf numFmtId="0" fontId="54" fillId="0" borderId="39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425" fontId="0" fillId="5" borderId="8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bottom"/>
    </xf>
    <xf numFmtId="2" fontId="0" fillId="0" borderId="34" xfId="0" applyNumberFormat="1" applyFont="1" applyFill="1" applyBorder="1" applyAlignment="1" applyProtection="1">
      <alignment horizontal="center" vertical="center" wrapText="1"/>
    </xf>
    <xf numFmtId="573" fontId="54" fillId="0" borderId="25" xfId="0" applyNumberFormat="1" applyFont="1" applyFill="1" applyBorder="1" applyAlignment="1" applyProtection="1">
      <alignment horizontal="center" vertical="center" wrapText="1"/>
    </xf>
    <xf numFmtId="0" fontId="8" fillId="0" borderId="44" xfId="0" applyNumberFormat="1" applyFont="1" applyFill="1" applyBorder="1" applyAlignment="1" applyProtection="1">
      <alignment horizontal="center" vertical="center" wrapText="1"/>
    </xf>
    <xf numFmtId="0" fontId="8" fillId="0" borderId="45" xfId="0" applyNumberFormat="1" applyFont="1" applyFill="1" applyBorder="1" applyAlignment="1" applyProtection="1">
      <alignment horizontal="center" vertical="center" wrapText="1"/>
    </xf>
    <xf numFmtId="0" fontId="54" fillId="0" borderId="37" xfId="0" applyNumberFormat="1" applyFont="1" applyFill="1" applyBorder="1" applyAlignment="1" applyProtection="1">
      <alignment horizontal="center" vertical="center"/>
    </xf>
    <xf numFmtId="0" fontId="54" fillId="0" borderId="34" xfId="0" applyNumberFormat="1" applyFont="1" applyFill="1" applyBorder="1" applyAlignment="1" applyProtection="1">
      <alignment horizontal="center" vertical="center"/>
    </xf>
    <xf numFmtId="2" fontId="0" fillId="0" borderId="36" xfId="0" applyNumberFormat="1" applyFont="1" applyFill="1" applyBorder="1" applyAlignment="1" applyProtection="1">
      <alignment horizontal="center" vertical="center" wrapText="1"/>
    </xf>
    <xf numFmtId="0" fontId="54" fillId="0" borderId="36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375" fontId="0" fillId="0" borderId="1" xfId="0" applyNumberFormat="1" applyFont="1" applyFill="1" applyBorder="1" applyAlignment="1" applyProtection="1">
      <alignment horizontal="left" vertical="bottom"/>
    </xf>
    <xf numFmtId="2" fontId="0" fillId="5" borderId="25" xfId="0" applyNumberFormat="1" applyFont="1" applyFill="1" applyBorder="1" applyAlignment="1" applyProtection="1">
      <alignment horizontal="center" vertical="center" wrapText="1"/>
    </xf>
    <xf numFmtId="0" fontId="52" fillId="0" borderId="39" xfId="0" applyNumberFormat="1" applyFont="1" applyFill="1" applyBorder="1" applyAlignment="1" applyProtection="1">
      <alignment horizontal="center" vertical="center" wrapText="1"/>
    </xf>
    <xf numFmtId="49" fontId="61" fillId="0" borderId="1" xfId="0" applyNumberFormat="1" applyFont="1" applyFill="1" applyBorder="1" applyAlignment="1" applyProtection="1">
      <alignment horizontal="center" vertical="center" wrapText="1"/>
    </xf>
    <xf numFmtId="0" fontId="54" fillId="0" borderId="8" xfId="0" applyNumberFormat="1" applyFont="1" applyFill="1" applyBorder="1" applyAlignment="1" applyProtection="1">
      <alignment horizontal="center" vertical="center" wrapText="1"/>
    </xf>
    <xf numFmtId="0" fontId="5" fillId="0" borderId="40" xfId="0" applyNumberFormat="1" applyFont="1" applyFill="1" applyBorder="1" applyAlignment="1" applyProtection="1">
      <alignment horizontal="center" vertical="center" wrapText="1"/>
    </xf>
    <xf numFmtId="0" fontId="54" fillId="0" borderId="42" xfId="0" applyNumberFormat="1" applyFont="1" applyFill="1" applyBorder="1" applyAlignment="1" applyProtection="1">
      <alignment horizontal="left" vertical="center" wrapText="1"/>
    </xf>
    <xf numFmtId="0" fontId="54" fillId="0" borderId="41" xfId="0" applyNumberFormat="1" applyFont="1" applyFill="1" applyBorder="1" applyAlignment="1" applyProtection="1">
      <alignment horizontal="center" vertical="center" wrapText="1"/>
    </xf>
    <xf numFmtId="413" fontId="54" fillId="0" borderId="40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bottom"/>
    </xf>
    <xf numFmtId="0" fontId="8" fillId="5" borderId="1" xfId="0" applyNumberFormat="1" applyFont="1" applyFill="1" applyBorder="1" applyAlignment="1" applyProtection="1">
      <alignment horizontal="center" vertical="center" wrapText="1"/>
    </xf>
    <xf numFmtId="0" fontId="54" fillId="0" borderId="42" xfId="0" applyNumberFormat="1" applyFont="1" applyFill="1" applyBorder="1" applyAlignment="1" applyProtection="1">
      <alignment horizontal="center" vertical="center"/>
    </xf>
    <xf numFmtId="398" fontId="5" fillId="3" borderId="20" xfId="0" applyNumberFormat="1" applyFont="1" applyFill="1" applyBorder="1" applyAlignment="1" applyProtection="1">
      <alignment horizontal="center" vertical="center" wrapText="1"/>
    </xf>
    <xf numFmtId="0" fontId="58" fillId="0" borderId="25" xfId="0" applyNumberFormat="1" applyFont="1" applyFill="1" applyBorder="1" applyAlignment="1" applyProtection="1">
      <alignment horizontal="center" vertical="center" wrapText="1"/>
    </xf>
    <xf numFmtId="0" fontId="54" fillId="0" borderId="25" xfId="0" applyNumberFormat="1" applyFont="1" applyFill="1" applyBorder="1" applyAlignment="1" applyProtection="1">
      <alignment horizontal="center" vertical="center" wrapText="1"/>
    </xf>
    <xf numFmtId="610" fontId="54" fillId="0" borderId="1" xfId="0" applyNumberFormat="1" applyFont="1" applyFill="1" applyBorder="1" applyAlignment="1" applyProtection="1">
      <alignment horizontal="center" vertical="center" wrapText="1"/>
    </xf>
    <xf numFmtId="0" fontId="0" fillId="0" borderId="20" xfId="0" applyNumberFormat="1" applyFont="1" applyFill="1" applyBorder="1" applyAlignment="1" applyProtection="1">
      <alignment horizontal="center" vertical="bottom"/>
    </xf>
    <xf numFmtId="413" fontId="54" fillId="0" borderId="36" xfId="0" applyNumberFormat="1" applyFont="1" applyFill="1" applyBorder="1" applyAlignment="1" applyProtection="1">
      <alignment horizontal="center" vertical="center" wrapText="1"/>
    </xf>
    <xf numFmtId="551" fontId="50" fillId="0" borderId="25" xfId="0" applyNumberFormat="1" applyFont="1" applyFill="1" applyBorder="1" applyAlignment="1" applyProtection="1">
      <alignment horizontal="center" vertical="center" wrapText="1"/>
    </xf>
    <xf numFmtId="0" fontId="13" fillId="0" borderId="25" xfId="0" applyNumberFormat="1" applyFont="1" applyFill="1" applyBorder="1" applyAlignment="1" applyProtection="1">
      <alignment horizontal="center" vertical="center" wrapText="1"/>
    </xf>
    <xf numFmtId="0" fontId="54" fillId="0" borderId="35" xfId="0" applyNumberFormat="1" applyFont="1" applyFill="1" applyBorder="1" applyAlignment="1" applyProtection="1">
      <alignment horizontal="center" vertical="center" wrapText="1"/>
    </xf>
    <xf numFmtId="0" fontId="59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62" fillId="0" borderId="1" xfId="0" applyNumberFormat="1" applyFont="1" applyFill="1" applyBorder="1" applyAlignment="1" applyProtection="1">
      <alignment horizontal="center" vertical="center" wrapText="1"/>
    </xf>
    <xf numFmtId="0" fontId="62" fillId="0" borderId="1" xfId="0" applyNumberFormat="1" applyFont="1" applyFill="1" applyBorder="1" applyAlignment="1" applyProtection="1">
      <alignment horizontal="center" vertical="center" wrapText="1"/>
    </xf>
    <xf numFmtId="0" fontId="54" fillId="0" borderId="35" xfId="0" applyNumberFormat="1" applyFont="1" applyFill="1" applyBorder="1" applyAlignment="1" applyProtection="1">
      <alignment horizontal="center" vertical="center" wrapText="1"/>
    </xf>
    <xf numFmtId="0" fontId="54" fillId="0" borderId="34" xfId="0" applyNumberFormat="1" applyFont="1" applyFill="1" applyBorder="1" applyAlignment="1" applyProtection="1">
      <alignment horizontal="center" vertical="center" wrapText="1"/>
    </xf>
    <xf numFmtId="0" fontId="54" fillId="0" borderId="36" xfId="0" applyNumberFormat="1" applyFont="1" applyFill="1" applyBorder="1" applyAlignment="1" applyProtection="1">
      <alignment horizontal="center" vertical="center" wrapText="1"/>
    </xf>
    <xf numFmtId="0" fontId="54" fillId="0" borderId="4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59" fillId="9" borderId="1" xfId="0" applyNumberFormat="1" applyFont="1" applyFill="1" applyBorder="1" applyAlignment="1" applyProtection="1">
      <alignment horizontal="left" vertical="bottom"/>
    </xf>
    <xf numFmtId="0" fontId="57" fillId="8" borderId="1" xfId="0" applyNumberFormat="1" applyFont="1" applyFill="1" applyBorder="1" applyAlignment="1" applyProtection="1">
      <alignment horizontal="center" vertical="center" wrapText="1"/>
    </xf>
    <xf numFmtId="0" fontId="0" fillId="5" borderId="42" xfId="0" applyNumberFormat="1" applyFont="1" applyFill="1" applyBorder="1" applyAlignment="1" applyProtection="1">
      <alignment horizontal="center" vertical="center" wrapText="1"/>
    </xf>
    <xf numFmtId="0" fontId="0" fillId="5" borderId="40" xfId="0" applyNumberFormat="1" applyFont="1" applyFill="1" applyBorder="1" applyAlignment="1" applyProtection="1">
      <alignment horizontal="center" vertical="center" wrapText="1"/>
    </xf>
    <xf numFmtId="0" fontId="0" fillId="5" borderId="39" xfId="0" applyNumberFormat="1" applyFont="1" applyFill="1" applyBorder="1" applyAlignment="1" applyProtection="1">
      <alignment horizontal="center" vertical="center" wrapText="1"/>
    </xf>
    <xf numFmtId="0" fontId="52" fillId="0" borderId="34" xfId="0" applyNumberFormat="1" applyFont="1" applyFill="1" applyBorder="1" applyAlignment="1" applyProtection="1">
      <alignment horizontal="center" vertical="center" wrapText="1"/>
    </xf>
    <xf numFmtId="0" fontId="62" fillId="0" borderId="35" xfId="0" applyNumberFormat="1" applyFont="1" applyFill="1" applyBorder="1" applyAlignment="1" applyProtection="1">
      <alignment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35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center" wrapText="1"/>
    </xf>
    <xf numFmtId="0" fontId="57" fillId="0" borderId="8" xfId="0" applyNumberFormat="1" applyFont="1" applyFill="1" applyBorder="1" applyAlignment="1" applyProtection="1">
      <alignment horizontal="center" vertical="center" wrapText="1"/>
    </xf>
    <xf numFmtId="0" fontId="54" fillId="0" borderId="40" xfId="0" applyNumberFormat="1" applyFont="1" applyFill="1" applyBorder="1" applyAlignment="1" applyProtection="1">
      <alignment horizontal="center" vertical="center"/>
    </xf>
    <xf numFmtId="584" fontId="0" fillId="0" borderId="45" xfId="0" applyNumberFormat="1" applyFont="1" applyFill="1" applyBorder="1" applyAlignment="1" applyProtection="1">
      <alignment horizontal="center" vertical="center" wrapText="1"/>
    </xf>
    <xf numFmtId="584" fontId="0" fillId="0" borderId="43" xfId="0" applyNumberFormat="1" applyFont="1" applyFill="1" applyBorder="1" applyAlignment="1" applyProtection="1">
      <alignment horizontal="center" vertical="center" wrapText="1"/>
    </xf>
    <xf numFmtId="588" fontId="0" fillId="0" borderId="42" xfId="0" applyNumberFormat="1" applyFont="1" applyFill="1" applyBorder="1" applyAlignment="1" applyProtection="1">
      <alignment horizontal="center" vertical="center" wrapText="1"/>
    </xf>
    <xf numFmtId="588" fontId="0" fillId="0" borderId="40" xfId="0" applyNumberFormat="1" applyFont="1" applyFill="1" applyBorder="1" applyAlignment="1" applyProtection="1">
      <alignment horizontal="center" vertical="center" wrapText="1"/>
    </xf>
    <xf numFmtId="588" fontId="0" fillId="0" borderId="36" xfId="0" applyNumberFormat="1" applyFont="1" applyFill="1" applyBorder="1" applyAlignment="1" applyProtection="1">
      <alignment horizontal="center" vertical="center" wrapText="1"/>
    </xf>
    <xf numFmtId="588" fontId="0" fillId="0" borderId="34" xfId="0" applyNumberFormat="1" applyFont="1" applyFill="1" applyBorder="1" applyAlignment="1" applyProtection="1">
      <alignment horizontal="center" vertical="center" wrapText="1"/>
    </xf>
    <xf numFmtId="2" fontId="0" fillId="0" borderId="45" xfId="0" applyNumberFormat="1" applyFont="1" applyFill="1" applyBorder="1" applyAlignment="1" applyProtection="1">
      <alignment horizontal="center" vertical="center" wrapText="1"/>
    </xf>
    <xf numFmtId="2" fontId="0" fillId="0" borderId="43" xfId="0" applyNumberFormat="1" applyFont="1" applyFill="1" applyBorder="1" applyAlignment="1" applyProtection="1">
      <alignment horizontal="center" vertical="center" wrapText="1"/>
    </xf>
    <xf numFmtId="2" fontId="0" fillId="0" borderId="42" xfId="0" applyNumberFormat="1" applyFont="1" applyFill="1" applyBorder="1" applyAlignment="1" applyProtection="1">
      <alignment horizontal="center" vertical="center" wrapText="1"/>
    </xf>
    <xf numFmtId="431" fontId="0" fillId="0" borderId="8" xfId="0" applyNumberFormat="1" applyFont="1" applyFill="1" applyBorder="1" applyAlignment="1" applyProtection="1">
      <alignment horizontal="center" vertical="center" wrapText="1"/>
    </xf>
    <xf numFmtId="431" fontId="0" fillId="0" borderId="20" xfId="0" applyNumberFormat="1" applyFont="1" applyFill="1" applyBorder="1" applyAlignment="1" applyProtection="1">
      <alignment horizontal="center" vertical="center" wrapText="1"/>
    </xf>
    <xf numFmtId="431" fontId="0" fillId="0" borderId="25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0" borderId="35" xfId="0" applyNumberFormat="1" applyFont="1" applyFill="1" applyBorder="1" applyAlignment="1" applyProtection="1">
      <alignment horizontal="center" vertical="center" wrapText="1"/>
    </xf>
    <xf numFmtId="0" fontId="0" fillId="0" borderId="34" xfId="0" applyNumberFormat="1" applyFont="1" applyFill="1" applyBorder="1" applyAlignment="1" applyProtection="1">
      <alignment horizontal="center" vertical="center" wrapText="1"/>
    </xf>
    <xf numFmtId="519" fontId="0" fillId="0" borderId="8" xfId="0" applyNumberFormat="1" applyFont="1" applyFill="1" applyBorder="1" applyAlignment="1" applyProtection="1">
      <alignment horizontal="center" vertical="center" wrapText="1"/>
    </xf>
    <xf numFmtId="519" fontId="0" fillId="0" borderId="20" xfId="0" applyNumberFormat="1" applyFont="1" applyFill="1" applyBorder="1" applyAlignment="1" applyProtection="1">
      <alignment horizontal="center" vertical="center" wrapText="1"/>
    </xf>
    <xf numFmtId="519" fontId="0" fillId="0" borderId="25" xfId="0" applyNumberFormat="1" applyFont="1" applyFill="1" applyBorder="1" applyAlignment="1" applyProtection="1">
      <alignment horizontal="center" vertical="center" wrapText="1"/>
    </xf>
    <xf numFmtId="2" fontId="0" fillId="0" borderId="8" xfId="0" applyNumberFormat="1" applyFont="1" applyFill="1" applyBorder="1" applyAlignment="1" applyProtection="1">
      <alignment horizontal="center" vertical="center" wrapText="1"/>
    </xf>
    <xf numFmtId="2" fontId="0" fillId="0" borderId="20" xfId="0" applyNumberFormat="1" applyFont="1" applyFill="1" applyBorder="1" applyAlignment="1" applyProtection="1">
      <alignment horizontal="center" vertical="center" wrapText="1"/>
    </xf>
    <xf numFmtId="2" fontId="0" fillId="0" borderId="25" xfId="0" applyNumberFormat="1" applyFont="1" applyFill="1" applyBorder="1" applyAlignment="1" applyProtection="1">
      <alignment horizontal="center" vertical="center" wrapText="1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20" xfId="0" applyNumberFormat="1" applyFont="1" applyFill="1" applyBorder="1" applyAlignment="1" applyProtection="1">
      <alignment horizontal="center" vertical="center" wrapText="1"/>
    </xf>
    <xf numFmtId="0" fontId="0" fillId="0" borderId="25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bottom"/>
    </xf>
    <xf numFmtId="281" fontId="5" fillId="4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2" fontId="12" fillId="0" borderId="0" xfId="0" applyNumberFormat="1" applyFont="1" applyFill="1" applyBorder="1" applyAlignment="1" applyProtection="1">
      <alignment vertical="bottom"/>
    </xf>
    <xf numFmtId="0" fontId="53" fillId="0" borderId="25" xfId="0" applyNumberFormat="1" applyFont="1" applyFill="1" applyBorder="1" applyAlignment="1" applyProtection="1">
      <alignment horizontal="center" vertical="center" wrapText="1"/>
    </xf>
    <xf numFmtId="2" fontId="59" fillId="0" borderId="1" xfId="0" applyNumberFormat="1" applyFont="1" applyFill="1" applyBorder="1" applyAlignment="1" applyProtection="1">
      <alignment vertical="bottom"/>
    </xf>
    <xf numFmtId="0" fontId="54" fillId="0" borderId="42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bottom"/>
    </xf>
    <xf numFmtId="0" fontId="52" fillId="0" borderId="37" xfId="0" applyNumberFormat="1" applyFont="1" applyFill="1" applyBorder="1" applyAlignment="1" applyProtection="1">
      <alignment horizontal="center" vertical="center" wrapText="1"/>
    </xf>
    <xf numFmtId="3" fontId="0" fillId="0" borderId="37" xfId="0" applyNumberFormat="1" applyFont="1" applyFill="1" applyBorder="1" applyAlignment="1" applyProtection="1">
      <alignment horizontal="center" vertical="center" wrapText="1"/>
    </xf>
    <xf numFmtId="0" fontId="51" fillId="0" borderId="36" xfId="0" applyNumberFormat="1" applyFont="1" applyFill="1" applyBorder="1" applyAlignment="1" applyProtection="1">
      <alignment horizontal="left" vertical="center" wrapText="1"/>
    </xf>
    <xf numFmtId="409" fontId="0" fillId="0" borderId="43" xfId="0" applyNumberFormat="1" applyFont="1" applyFill="1" applyBorder="1" applyAlignment="1" applyProtection="1">
      <alignment horizontal="center" vertical="center" wrapText="1"/>
    </xf>
    <xf numFmtId="350" fontId="0" fillId="8" borderId="1" xfId="0" applyNumberFormat="1" applyFont="1" applyFill="1" applyBorder="1" applyAlignment="1" applyProtection="1">
      <alignment horizontal="center" vertical="bottom"/>
    </xf>
    <xf numFmtId="319" fontId="59" fillId="0" borderId="0" xfId="0" applyNumberFormat="1" applyFont="1" applyFill="1" applyBorder="1" applyAlignment="1" applyProtection="1">
      <alignment horizontal="center" vertical="center"/>
    </xf>
    <xf numFmtId="0" fontId="59" fillId="8" borderId="1" xfId="0" applyNumberFormat="1" applyFont="1" applyFill="1" applyBorder="1" applyAlignment="1" applyProtection="1">
      <alignment horizontal="center" vertical="bottom"/>
    </xf>
    <xf numFmtId="404" fontId="59" fillId="0" borderId="0" xfId="0" applyNumberFormat="1" applyFont="1" applyFill="1" applyBorder="1" applyAlignment="1" applyProtection="1">
      <alignment horizontal="center" vertical="bottom"/>
    </xf>
    <xf numFmtId="409" fontId="0" fillId="0" borderId="45" xfId="0" applyNumberFormat="1" applyFont="1" applyFill="1" applyBorder="1" applyAlignment="1" applyProtection="1">
      <alignment horizontal="center" vertical="center" wrapText="1"/>
    </xf>
    <xf numFmtId="592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bottom"/>
    </xf>
    <xf numFmtId="0" fontId="54" fillId="0" borderId="43" xfId="0" applyNumberFormat="1" applyFont="1" applyFill="1" applyBorder="1" applyAlignment="1" applyProtection="1">
      <alignment horizontal="center" vertical="center" wrapText="1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552" fontId="54" fillId="0" borderId="25" xfId="0" applyNumberFormat="1" applyFont="1" applyFill="1" applyBorder="1" applyAlignment="1" applyProtection="1">
      <alignment horizontal="center" vertical="center" wrapText="1"/>
    </xf>
    <xf numFmtId="552" fontId="54" fillId="0" borderId="8" xfId="0" applyNumberFormat="1" applyFont="1" applyFill="1" applyBorder="1" applyAlignment="1" applyProtection="1">
      <alignment horizontal="center" vertical="center" wrapText="1"/>
    </xf>
    <xf numFmtId="0" fontId="0" fillId="5" borderId="34" xfId="0" applyNumberFormat="1" applyFont="1" applyFill="1" applyBorder="1" applyAlignment="1" applyProtection="1">
      <alignment horizontal="center" vertical="center" wrapText="1"/>
    </xf>
    <xf numFmtId="0" fontId="57" fillId="0" borderId="25" xfId="0" applyNumberFormat="1" applyFont="1" applyFill="1" applyBorder="1" applyAlignment="1" applyProtection="1">
      <alignment horizontal="center" vertical="center" wrapText="1"/>
    </xf>
    <xf numFmtId="0" fontId="51" fillId="0" borderId="35" xfId="0" applyNumberFormat="1" applyFont="1" applyFill="1" applyBorder="1" applyAlignment="1" applyProtection="1">
      <alignment horizontal="left" vertical="center" wrapText="1"/>
    </xf>
    <xf numFmtId="0" fontId="50" fillId="8" borderId="1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59" fillId="9" borderId="1" xfId="0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0" fillId="0" borderId="20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43" xfId="0" applyNumberFormat="1" applyFont="1" applyFill="1" applyBorder="1" applyAlignment="1" applyProtection="1">
      <alignment horizontal="center" vertical="center" wrapText="1"/>
    </xf>
    <xf numFmtId="425" fontId="0" fillId="5" borderId="25" xfId="0" applyNumberFormat="1" applyFont="1" applyFill="1" applyBorder="1" applyAlignment="1" applyProtection="1">
      <alignment horizontal="center" vertical="center" wrapText="1"/>
    </xf>
    <xf numFmtId="0" fontId="5" fillId="0" borderId="41" xfId="0" applyNumberFormat="1" applyFont="1" applyFill="1" applyBorder="1" applyAlignment="1" applyProtection="1">
      <alignment horizontal="center" vertical="center" wrapText="1"/>
    </xf>
    <xf numFmtId="0" fontId="61" fillId="0" borderId="1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bottom"/>
    </xf>
    <xf numFmtId="0" fontId="51" fillId="0" borderId="40" xfId="0" applyNumberFormat="1" applyFont="1" applyFill="1" applyBorder="1" applyAlignment="1" applyProtection="1">
      <alignment horizontal="left" vertical="center" wrapText="1"/>
    </xf>
    <xf numFmtId="539" fontId="0" fillId="0" borderId="45" xfId="0" applyNumberFormat="1" applyFont="1" applyFill="1" applyBorder="1" applyAlignment="1" applyProtection="1">
      <alignment horizontal="center" vertical="center" wrapText="1"/>
    </xf>
    <xf numFmtId="539" fontId="0" fillId="0" borderId="43" xfId="0" applyNumberFormat="1" applyFont="1" applyFill="1" applyBorder="1" applyAlignment="1" applyProtection="1">
      <alignment horizontal="center" vertical="center" wrapText="1"/>
    </xf>
    <xf numFmtId="451" fontId="0" fillId="5" borderId="42" xfId="0" applyNumberFormat="1" applyFont="1" applyFill="1" applyBorder="1" applyAlignment="1" applyProtection="1">
      <alignment horizontal="center" vertical="center" wrapText="1"/>
    </xf>
    <xf numFmtId="0" fontId="0" fillId="0" borderId="34" xfId="0" applyNumberFormat="1" applyFont="1" applyFill="1" applyBorder="1" applyAlignment="1" applyProtection="1">
      <alignment horizontal="center" vertical="bottom"/>
    </xf>
    <xf numFmtId="0" fontId="51" fillId="0" borderId="42" xfId="0" applyNumberFormat="1" applyFont="1" applyFill="1" applyBorder="1" applyAlignment="1" applyProtection="1">
      <alignment horizontal="left" vertical="center" wrapText="1"/>
    </xf>
    <xf numFmtId="372" fontId="55" fillId="8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49" fillId="0" borderId="1" xfId="0" applyNumberFormat="1" applyFont="1" applyFill="1" applyBorder="1" applyAlignment="1" applyProtection="1">
      <alignment horizontal="center" vertical="center"/>
    </xf>
    <xf numFmtId="551" fontId="50" fillId="0" borderId="8" xfId="0" applyNumberFormat="1" applyFont="1" applyFill="1" applyBorder="1" applyAlignment="1" applyProtection="1">
      <alignment horizontal="center" vertical="center" wrapText="1"/>
    </xf>
    <xf numFmtId="2" fontId="54" fillId="0" borderId="34" xfId="0" applyNumberFormat="1" applyFont="1" applyFill="1" applyBorder="1" applyAlignment="1" applyProtection="1">
      <alignment horizontal="center" vertical="center" wrapText="1"/>
    </xf>
    <xf numFmtId="0" fontId="62" fillId="8" borderId="1" xfId="0" applyNumberFormat="1" applyFont="1" applyFill="1" applyBorder="1" applyAlignment="1" applyProtection="1">
      <alignment horizontal="center" vertical="center" wrapText="1"/>
    </xf>
    <xf numFmtId="0" fontId="60" fillId="6" borderId="1" xfId="0" applyNumberFormat="1" applyFont="1" applyFill="1" applyBorder="1" applyAlignment="1" applyProtection="1">
      <alignment horizontal="center" vertical="center" wrapText="1"/>
    </xf>
    <xf numFmtId="413" fontId="54" fillId="0" borderId="39" xfId="0" applyNumberFormat="1" applyFont="1" applyFill="1" applyBorder="1" applyAlignment="1" applyProtection="1">
      <alignment horizontal="center" vertical="center" wrapText="1"/>
    </xf>
    <xf numFmtId="413" fontId="54" fillId="0" borderId="42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59" fillId="9" borderId="1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 wrapText="1"/>
    </xf>
    <xf numFmtId="451" fontId="0" fillId="5" borderId="34" xfId="0" applyNumberFormat="1" applyFont="1" applyFill="1" applyBorder="1" applyAlignment="1" applyProtection="1">
      <alignment horizontal="center" vertical="center" wrapText="1"/>
    </xf>
    <xf numFmtId="0" fontId="54" fillId="0" borderId="39" xfId="0" applyNumberFormat="1" applyFont="1" applyFill="1" applyBorder="1" applyAlignment="1" applyProtection="1">
      <alignment horizontal="center" vertical="center"/>
    </xf>
    <xf numFmtId="0" fontId="0" fillId="5" borderId="8" xfId="0" applyNumberFormat="1" applyFont="1" applyFill="1" applyBorder="1" applyAlignment="1" applyProtection="1">
      <alignment horizontal="center" vertical="center" wrapText="1"/>
    </xf>
    <xf numFmtId="0" fontId="62" fillId="0" borderId="34" xfId="0" applyNumberFormat="1" applyFont="1" applyFill="1" applyBorder="1" applyAlignment="1" applyProtection="1">
      <alignment vertical="center" wrapText="1"/>
    </xf>
    <xf numFmtId="0" fontId="54" fillId="0" borderId="45" xfId="0" applyNumberFormat="1" applyFont="1" applyFill="1" applyBorder="1" applyAlignment="1" applyProtection="1">
      <alignment horizontal="center" vertical="center"/>
    </xf>
    <xf numFmtId="2" fontId="8" fillId="0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bottom" wrapText="1"/>
    </xf>
    <xf numFmtId="0" fontId="53" fillId="0" borderId="8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/>
    </xf>
    <xf numFmtId="0" fontId="0" fillId="5" borderId="37" xfId="0" applyNumberFormat="1" applyFont="1" applyFill="1" applyBorder="1" applyAlignment="1" applyProtection="1">
      <alignment horizontal="center" vertical="center" wrapText="1"/>
    </xf>
    <xf numFmtId="513" fontId="54" fillId="0" borderId="43" xfId="0" applyNumberFormat="1" applyFont="1" applyFill="1" applyBorder="1" applyAlignment="1" applyProtection="1">
      <alignment horizontal="center" vertical="center" wrapText="1"/>
    </xf>
    <xf numFmtId="0" fontId="54" fillId="0" borderId="43" xfId="0" applyNumberFormat="1" applyFont="1" applyFill="1" applyBorder="1" applyAlignment="1" applyProtection="1">
      <alignment horizontal="center" vertical="center"/>
    </xf>
    <xf numFmtId="535" fontId="0" fillId="0" borderId="43" xfId="0" applyNumberFormat="1" applyFont="1" applyFill="1" applyBorder="1" applyAlignment="1" applyProtection="1">
      <alignment horizontal="center" vertical="center" wrapText="1"/>
    </xf>
    <xf numFmtId="0" fontId="52" fillId="0" borderId="36" xfId="0" applyNumberFormat="1" applyFont="1" applyFill="1" applyBorder="1" applyAlignment="1" applyProtection="1">
      <alignment horizontal="center" vertical="center" wrapText="1"/>
    </xf>
    <xf numFmtId="418" fontId="0" fillId="0" borderId="34" xfId="0" applyNumberFormat="1" applyFont="1" applyFill="1" applyBorder="1" applyAlignment="1" applyProtection="1">
      <alignment horizontal="center" vertical="center" wrapText="1"/>
    </xf>
    <xf numFmtId="0" fontId="53" fillId="0" borderId="20" xfId="0" applyNumberFormat="1" applyFont="1" applyFill="1" applyBorder="1" applyAlignment="1" applyProtection="1">
      <alignment horizontal="center" vertical="center" wrapText="1"/>
    </xf>
    <xf numFmtId="0" fontId="52" fillId="0" borderId="40" xfId="0" applyNumberFormat="1" applyFont="1" applyFill="1" applyBorder="1" applyAlignment="1" applyProtection="1">
      <alignment horizontal="center" vertical="center" wrapText="1"/>
    </xf>
    <xf numFmtId="2" fontId="54" fillId="0" borderId="42" xfId="0" applyNumberFormat="1" applyFont="1" applyFill="1" applyBorder="1" applyAlignment="1" applyProtection="1">
      <alignment horizontal="center" vertical="center" wrapText="1"/>
    </xf>
    <xf numFmtId="413" fontId="54" fillId="0" borderId="37" xfId="0" applyNumberFormat="1" applyFont="1" applyFill="1" applyBorder="1" applyAlignment="1" applyProtection="1">
      <alignment horizontal="center" vertical="center" wrapText="1"/>
    </xf>
    <xf numFmtId="0" fontId="0" fillId="5" borderId="0" xfId="0" applyNumberFormat="1" applyFont="1" applyFill="1" applyBorder="1" applyAlignment="1" applyProtection="1">
      <alignment vertical="bottom"/>
    </xf>
    <xf numFmtId="0" fontId="54" fillId="0" borderId="36" xfId="0" applyNumberFormat="1" applyFont="1" applyFill="1" applyBorder="1" applyAlignment="1" applyProtection="1">
      <alignment horizontal="center" vertical="center" wrapText="1"/>
    </xf>
    <xf numFmtId="526" fontId="49" fillId="0" borderId="43" xfId="0" applyNumberFormat="1" applyFont="1" applyFill="1" applyBorder="1" applyAlignment="1" applyProtection="1">
      <alignment horizontal="center" vertical="center" wrapText="1"/>
    </xf>
    <xf numFmtId="0" fontId="58" fillId="0" borderId="25" xfId="0" applyNumberFormat="1" applyFont="1" applyFill="1" applyBorder="1" applyAlignment="1" applyProtection="1">
      <alignment horizontal="center" vertical="center"/>
    </xf>
    <xf numFmtId="0" fontId="54" fillId="0" borderId="45" xfId="0" applyNumberFormat="1" applyFont="1" applyFill="1" applyBorder="1" applyAlignment="1" applyProtection="1">
      <alignment horizontal="center" vertical="center" wrapText="1"/>
    </xf>
    <xf numFmtId="304" fontId="5" fillId="3" borderId="8" xfId="0" applyNumberFormat="1" applyFont="1" applyFill="1" applyBorder="1" applyAlignment="1" applyProtection="1">
      <alignment horizontal="center" vertical="center" wrapText="1"/>
    </xf>
    <xf numFmtId="398" fontId="5" fillId="3" borderId="25" xfId="0" applyNumberFormat="1" applyFont="1" applyFill="1" applyBorder="1" applyAlignment="1" applyProtection="1">
      <alignment horizontal="center" vertical="center" wrapText="1"/>
    </xf>
    <xf numFmtId="0" fontId="0" fillId="0" borderId="25" xfId="0" applyNumberFormat="1" applyFont="1" applyFill="1" applyBorder="1" applyAlignment="1" applyProtection="1">
      <alignment horizontal="center" vertical="bottom"/>
    </xf>
    <xf numFmtId="3" fontId="0" fillId="0" borderId="40" xfId="0" applyNumberFormat="1" applyFont="1" applyFill="1" applyBorder="1" applyAlignment="1" applyProtection="1">
      <alignment horizontal="center" vertical="center" wrapText="1"/>
    </xf>
    <xf numFmtId="3" fontId="0" fillId="0" borderId="34" xfId="0" applyNumberFormat="1" applyFont="1" applyFill="1" applyBorder="1" applyAlignment="1" applyProtection="1">
      <alignment horizontal="center" vertical="center" wrapText="1"/>
    </xf>
    <xf numFmtId="401" fontId="59" fillId="0" borderId="0" xfId="0" applyNumberFormat="1" applyFont="1" applyFill="1" applyBorder="1" applyAlignment="1" applyProtection="1">
      <alignment horizontal="center" vertical="bottom"/>
    </xf>
    <xf numFmtId="0" fontId="54" fillId="0" borderId="20" xfId="0" applyNumberFormat="1" applyFont="1" applyFill="1" applyBorder="1" applyAlignment="1" applyProtection="1">
      <alignment horizontal="center" vertical="center" wrapText="1"/>
    </xf>
    <xf numFmtId="0" fontId="54" fillId="0" borderId="39" xfId="0" applyNumberFormat="1" applyFont="1" applyFill="1" applyBorder="1" applyAlignment="1" applyProtection="1">
      <alignment horizontal="center" vertical="center" wrapText="1"/>
    </xf>
    <xf numFmtId="0" fontId="54" fillId="0" borderId="37" xfId="0" applyNumberFormat="1" applyFont="1" applyFill="1" applyBorder="1" applyAlignment="1" applyProtection="1">
      <alignment horizontal="center" vertical="center" wrapText="1"/>
    </xf>
    <xf numFmtId="303" fontId="8" fillId="0" borderId="0" xfId="0" applyNumberFormat="1" applyFont="1" applyFill="1" applyBorder="1" applyAlignment="1" applyProtection="1">
      <alignment horizontal="center" vertical="center" wrapText="1"/>
    </xf>
    <xf numFmtId="2" fontId="59" fillId="0" borderId="1" xfId="0" applyNumberFormat="1" applyFont="1" applyFill="1" applyBorder="1" applyAlignment="1" applyProtection="1">
      <alignment horizontal="center" vertical="bottom"/>
    </xf>
    <xf numFmtId="0" fontId="62" fillId="0" borderId="42" xfId="0" applyNumberFormat="1" applyFont="1" applyFill="1" applyBorder="1" applyAlignment="1" applyProtection="1">
      <alignment vertical="center" wrapText="1"/>
    </xf>
    <xf numFmtId="0" fontId="54" fillId="0" borderId="35" xfId="0" applyNumberFormat="1" applyFont="1" applyFill="1" applyBorder="1" applyAlignment="1" applyProtection="1">
      <alignment horizontal="left" vertical="center" wrapText="1"/>
    </xf>
    <xf numFmtId="513" fontId="54" fillId="0" borderId="45" xfId="0" applyNumberFormat="1" applyFont="1" applyFill="1" applyBorder="1" applyAlignment="1" applyProtection="1">
      <alignment horizontal="center" vertical="center" wrapText="1"/>
    </xf>
    <xf numFmtId="0" fontId="0" fillId="5" borderId="36" xfId="0" applyNumberFormat="1" applyFont="1" applyFill="1" applyBorder="1" applyAlignment="1" applyProtection="1">
      <alignment horizontal="center" vertical="center" wrapText="1"/>
    </xf>
    <xf numFmtId="0" fontId="52" fillId="0" borderId="42" xfId="0" applyNumberFormat="1" applyFont="1" applyFill="1" applyBorder="1" applyAlignment="1" applyProtection="1">
      <alignment horizontal="center" vertical="center" wrapText="1"/>
    </xf>
    <xf numFmtId="418" fontId="0" fillId="0" borderId="42" xfId="0" applyNumberFormat="1" applyFont="1" applyFill="1" applyBorder="1" applyAlignment="1" applyProtection="1">
      <alignment horizontal="center" vertical="center" wrapText="1"/>
    </xf>
    <xf numFmtId="418" fontId="0" fillId="0" borderId="40" xfId="0" applyNumberFormat="1" applyFont="1" applyFill="1" applyBorder="1" applyAlignment="1" applyProtection="1">
      <alignment horizontal="center" vertical="center" wrapText="1"/>
    </xf>
    <xf numFmtId="0" fontId="54" fillId="0" borderId="42" xfId="0" applyNumberFormat="1" applyFont="1" applyFill="1" applyBorder="1" applyAlignment="1" applyProtection="1">
      <alignment horizontal="center" vertical="center" wrapText="1"/>
    </xf>
    <xf numFmtId="0" fontId="58" fillId="0" borderId="8" xfId="0" applyNumberFormat="1" applyFont="1" applyFill="1" applyBorder="1" applyAlignment="1" applyProtection="1">
      <alignment horizontal="center" vertical="center" wrapText="1"/>
    </xf>
    <xf numFmtId="2" fontId="54" fillId="0" borderId="36" xfId="0" applyNumberFormat="1" applyFont="1" applyFill="1" applyBorder="1" applyAlignment="1" applyProtection="1">
      <alignment horizontal="center" vertical="center" wrapText="1"/>
    </xf>
    <xf numFmtId="0" fontId="51" fillId="0" borderId="41" xfId="0" applyNumberFormat="1" applyFont="1" applyFill="1" applyBorder="1" applyAlignment="1" applyProtection="1">
      <alignment horizontal="left" vertical="center" wrapText="1"/>
    </xf>
    <xf numFmtId="418" fontId="0" fillId="0" borderId="36" xfId="0" applyNumberFormat="1" applyFont="1" applyFill="1" applyBorder="1" applyAlignment="1" applyProtection="1">
      <alignment horizontal="center" vertical="center" wrapText="1"/>
    </xf>
    <xf numFmtId="429" fontId="59" fillId="9" borderId="1" xfId="0" applyNumberFormat="1" applyFont="1" applyFill="1" applyBorder="1" applyAlignment="1" applyProtection="1">
      <alignment horizontal="left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0" fontId="0" fillId="0" borderId="1" xfId="0" applyNumberFormat="1" applyFont="1" applyFill="1" applyBorder="1" applyAlignment="1" applyProtection="1">
      <alignment horizontal="left" vertical="bottom"/>
    </xf>
    <xf numFmtId="0" fontId="8" fillId="5" borderId="1" xfId="0" applyNumberFormat="1" applyFont="1" applyFill="1" applyBorder="1" applyAlignment="1" applyProtection="1">
      <alignment horizontal="center" vertical="center" wrapText="1"/>
    </xf>
    <xf numFmtId="0" fontId="54" fillId="0" borderId="1" xfId="0" applyNumberFormat="1" applyFont="1" applyFill="1" applyBorder="1" applyAlignment="1" applyProtection="1">
      <alignment horizontal="center" vertical="center" wrapText="1"/>
    </xf>
    <xf numFmtId="0" fontId="5" fillId="4" borderId="1" xfId="0" applyNumberFormat="1" applyFont="1" applyFill="1" applyBorder="1" applyAlignment="1" applyProtection="1">
      <alignment horizontal="center" vertical="center" wrapText="1"/>
    </xf>
    <xf numFmtId="2" fontId="5" fillId="3" borderId="8" xfId="0" applyNumberFormat="1" applyFont="1" applyFill="1" applyBorder="1" applyAlignment="1" applyProtection="1">
      <alignment horizontal="center" vertical="center" wrapText="1"/>
    </xf>
    <xf numFmtId="0" fontId="62" fillId="0" borderId="40" xfId="0" applyNumberFormat="1" applyFont="1" applyFill="1" applyBorder="1" applyAlignment="1" applyProtection="1">
      <alignment vertical="center" wrapText="1"/>
    </xf>
    <xf numFmtId="2" fontId="8" fillId="0" borderId="1" xfId="0" applyNumberFormat="1" applyFont="1" applyFill="1" applyBorder="1" applyAlignment="1" applyProtection="1">
      <alignment vertical="center" wrapText="1"/>
    </xf>
    <xf numFmtId="0" fontId="59" fillId="0" borderId="0" xfId="0" applyNumberFormat="1" applyFont="1" applyFill="1" applyBorder="1" applyAlignment="1" applyProtection="1">
      <alignment horizontal="center" vertical="bottom"/>
    </xf>
    <xf numFmtId="49" fontId="8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1" fillId="0" borderId="0" xfId="0" applyNumberFormat="1" applyFont="1" applyAlignment="1" applyProtection="1">
      <alignment vertical="top"/>
      <protection locked="1"/>
    </xf>
    <xf numFmtId="0" fontId="0" fillId="0" borderId="0" applyAlignment="1" applyProtection="1">
      <alignment vertical="top"/>
      <protection locked="0"/>
    </xf>
    <xf numFmtId="623" fontId="1" fillId="0" borderId="0" xfId="1" applyNumberFormat="1" applyFont="1" applyAlignment="1" applyProtection="1">
      <alignment vertical="center"/>
      <protection locked="1"/>
    </xf>
    <xf numFmtId="624" fontId="1" fillId="0" borderId="0" xfId="2" applyNumberFormat="1" applyFont="1" applyAlignment="1" applyProtection="1">
      <alignment vertical="center"/>
      <protection locked="1"/>
    </xf>
    <xf numFmtId="625" fontId="1" fillId="0" borderId="0" xfId="3" applyNumberFormat="1" applyFont="1" applyAlignment="1" applyProtection="1">
      <alignment vertical="center"/>
      <protection locked="1"/>
    </xf>
    <xf numFmtId="626" fontId="1" fillId="0" borderId="0" xfId="4" applyNumberFormat="1" applyFont="1" applyAlignment="1" applyProtection="1">
      <alignment vertical="center"/>
      <protection locked="1"/>
    </xf>
    <xf numFmtId="627" fontId="1" fillId="0" borderId="0" xfId="5" applyNumberFormat="1" applyFont="1" applyAlignment="1" applyProtection="1">
      <alignment vertical="center"/>
      <protection locked="1"/>
    </xf>
    <xf numFmtId="0" fontId="63" fillId="0" borderId="0" xfId="6" applyNumberFormat="1" applyFont="1" applyAlignment="1" applyProtection="1">
      <alignment vertical="center"/>
      <protection locked="1"/>
    </xf>
    <xf numFmtId="0" fontId="64" fillId="0" borderId="0" xfId="7" applyNumberFormat="1" applyFont="1" applyAlignment="1" applyProtection="1">
      <alignment vertical="center"/>
      <protection locked="1"/>
    </xf>
    <xf numFmtId="0" fontId="1" fillId="41" borderId="10" xfId="8" applyNumberFormat="1" applyFont="1" applyFill="1" applyBorder="1" applyAlignment="1" applyProtection="1">
      <alignment vertical="center"/>
      <protection locked="1"/>
    </xf>
    <xf numFmtId="0" fontId="65" fillId="0" borderId="0" xfId="9" applyNumberFormat="1" applyFont="1" applyAlignment="1" applyProtection="1">
      <alignment vertical="center"/>
      <protection locked="1"/>
    </xf>
    <xf numFmtId="0" fontId="66" fillId="0" borderId="0" xfId="10" applyNumberFormat="1" applyFont="1" applyAlignment="1" applyProtection="1">
      <alignment vertical="center"/>
      <protection locked="1"/>
    </xf>
    <xf numFmtId="0" fontId="67" fillId="0" borderId="0" xfId="11" applyNumberFormat="1" applyFont="1" applyAlignment="1" applyProtection="1">
      <alignment vertical="center"/>
      <protection locked="1"/>
    </xf>
    <xf numFmtId="0" fontId="68" fillId="0" borderId="18" xfId="12" applyNumberFormat="1" applyFont="1" applyBorder="1" applyAlignment="1" applyProtection="1">
      <alignment vertical="center"/>
      <protection locked="1"/>
    </xf>
    <xf numFmtId="0" fontId="69" fillId="0" borderId="18" xfId="13" applyNumberFormat="1" applyFont="1" applyBorder="1" applyAlignment="1" applyProtection="1">
      <alignment vertical="center"/>
      <protection locked="1"/>
    </xf>
    <xf numFmtId="0" fontId="70" fillId="0" borderId="19" xfId="14" applyNumberFormat="1" applyFont="1" applyBorder="1" applyAlignment="1" applyProtection="1">
      <alignment vertical="center"/>
      <protection locked="1"/>
    </xf>
    <xf numFmtId="0" fontId="70" fillId="0" borderId="0" xfId="15" applyNumberFormat="1" applyFont="1" applyAlignment="1" applyProtection="1">
      <alignment vertical="center"/>
      <protection locked="1"/>
    </xf>
    <xf numFmtId="0" fontId="71" fillId="42" borderId="13" xfId="16" applyNumberFormat="1" applyFont="1" applyFill="1" applyBorder="1" applyAlignment="1" applyProtection="1">
      <alignment vertical="center"/>
      <protection locked="1"/>
    </xf>
    <xf numFmtId="0" fontId="72" fillId="43" borderId="14" xfId="17" applyNumberFormat="1" applyFont="1" applyFill="1" applyBorder="1" applyAlignment="1" applyProtection="1">
      <alignment vertical="center"/>
      <protection locked="1"/>
    </xf>
    <xf numFmtId="0" fontId="73" fillId="43" borderId="13" xfId="18" applyNumberFormat="1" applyFont="1" applyFill="1" applyBorder="1" applyAlignment="1" applyProtection="1">
      <alignment vertical="center"/>
      <protection locked="1"/>
    </xf>
    <xf numFmtId="0" fontId="74" fillId="44" borderId="15" xfId="19" applyNumberFormat="1" applyFont="1" applyFill="1" applyBorder="1" applyAlignment="1" applyProtection="1">
      <alignment vertical="center"/>
      <protection locked="1"/>
    </xf>
    <xf numFmtId="0" fontId="75" fillId="0" borderId="16" xfId="20" applyNumberFormat="1" applyFont="1" applyBorder="1" applyAlignment="1" applyProtection="1">
      <alignment vertical="center"/>
      <protection locked="1"/>
    </xf>
    <xf numFmtId="0" fontId="76" fillId="0" borderId="29" xfId="21" applyNumberFormat="1" applyFont="1" applyBorder="1" applyAlignment="1" applyProtection="1">
      <alignment vertical="center"/>
      <protection locked="1"/>
    </xf>
    <xf numFmtId="0" fontId="77" fillId="45" borderId="0" xfId="22" applyNumberFormat="1" applyFont="1" applyFill="1" applyAlignment="1" applyProtection="1">
      <alignment vertical="center"/>
      <protection locked="1"/>
    </xf>
    <xf numFmtId="0" fontId="78" fillId="46" borderId="0" xfId="23" applyNumberFormat="1" applyFont="1" applyFill="1" applyAlignment="1" applyProtection="1">
      <alignment vertical="center"/>
      <protection locked="1"/>
    </xf>
    <xf numFmtId="0" fontId="79" fillId="47" borderId="0" xfId="24" applyNumberFormat="1" applyFont="1" applyFill="1" applyAlignment="1" applyProtection="1">
      <alignment vertical="center"/>
      <protection locked="1"/>
    </xf>
    <xf numFmtId="0" fontId="80" fillId="48" borderId="0" xfId="25" applyNumberFormat="1" applyFont="1" applyFill="1" applyAlignment="1" applyProtection="1">
      <alignment vertical="center"/>
      <protection locked="1"/>
    </xf>
    <xf numFmtId="0" fontId="81" fillId="49" borderId="0" xfId="26" applyNumberFormat="1" applyFont="1" applyFill="1" applyAlignment="1" applyProtection="1">
      <alignment vertical="center"/>
      <protection locked="1"/>
    </xf>
    <xf numFmtId="0" fontId="81" fillId="50" borderId="0" xfId="27" applyNumberFormat="1" applyFont="1" applyFill="1" applyAlignment="1" applyProtection="1">
      <alignment vertical="center"/>
      <protection locked="1"/>
    </xf>
    <xf numFmtId="0" fontId="80" fillId="51" borderId="0" xfId="28" applyNumberFormat="1" applyFont="1" applyFill="1" applyAlignment="1" applyProtection="1">
      <alignment vertical="center"/>
      <protection locked="1"/>
    </xf>
    <xf numFmtId="0" fontId="80" fillId="52" borderId="0" xfId="29" applyNumberFormat="1" applyFont="1" applyFill="1" applyAlignment="1" applyProtection="1">
      <alignment vertical="center"/>
      <protection locked="1"/>
    </xf>
    <xf numFmtId="0" fontId="81" fillId="53" borderId="0" xfId="30" applyNumberFormat="1" applyFont="1" applyFill="1" applyAlignment="1" applyProtection="1">
      <alignment vertical="center"/>
      <protection locked="1"/>
    </xf>
    <xf numFmtId="0" fontId="81" fillId="54" borderId="0" xfId="31" applyNumberFormat="1" applyFont="1" applyFill="1" applyAlignment="1" applyProtection="1">
      <alignment vertical="center"/>
      <protection locked="1"/>
    </xf>
    <xf numFmtId="0" fontId="80" fillId="55" borderId="0" xfId="32" applyNumberFormat="1" applyFont="1" applyFill="1" applyAlignment="1" applyProtection="1">
      <alignment vertical="center"/>
      <protection locked="1"/>
    </xf>
    <xf numFmtId="0" fontId="80" fillId="56" borderId="0" xfId="33" applyNumberFormat="1" applyFont="1" applyFill="1" applyAlignment="1" applyProtection="1">
      <alignment vertical="center"/>
      <protection locked="1"/>
    </xf>
    <xf numFmtId="0" fontId="81" fillId="57" borderId="0" xfId="34" applyNumberFormat="1" applyFont="1" applyFill="1" applyAlignment="1" applyProtection="1">
      <alignment vertical="center"/>
      <protection locked="1"/>
    </xf>
    <xf numFmtId="0" fontId="81" fillId="58" borderId="0" xfId="35" applyNumberFormat="1" applyFont="1" applyFill="1" applyAlignment="1" applyProtection="1">
      <alignment vertical="center"/>
      <protection locked="1"/>
    </xf>
    <xf numFmtId="0" fontId="80" fillId="59" borderId="0" xfId="36" applyNumberFormat="1" applyFont="1" applyFill="1" applyAlignment="1" applyProtection="1">
      <alignment vertical="center"/>
      <protection locked="1"/>
    </xf>
    <xf numFmtId="0" fontId="80" fillId="60" borderId="0" xfId="37" applyNumberFormat="1" applyFont="1" applyFill="1" applyAlignment="1" applyProtection="1">
      <alignment vertical="center"/>
      <protection locked="1"/>
    </xf>
    <xf numFmtId="0" fontId="81" fillId="61" borderId="0" xfId="38" applyNumberFormat="1" applyFont="1" applyFill="1" applyAlignment="1" applyProtection="1">
      <alignment vertical="center"/>
      <protection locked="1"/>
    </xf>
    <xf numFmtId="0" fontId="81" fillId="62" borderId="0" xfId="39" applyNumberFormat="1" applyFont="1" applyFill="1" applyAlignment="1" applyProtection="1">
      <alignment vertical="center"/>
      <protection locked="1"/>
    </xf>
    <xf numFmtId="0" fontId="80" fillId="63" borderId="0" xfId="40" applyNumberFormat="1" applyFont="1" applyFill="1" applyAlignment="1" applyProtection="1">
      <alignment vertical="center"/>
      <protection locked="1"/>
    </xf>
    <xf numFmtId="0" fontId="80" fillId="64" borderId="0" xfId="41" applyNumberFormat="1" applyFont="1" applyFill="1" applyAlignment="1" applyProtection="1">
      <alignment vertical="center"/>
      <protection locked="1"/>
    </xf>
    <xf numFmtId="0" fontId="81" fillId="65" borderId="0" xfId="42" applyNumberFormat="1" applyFont="1" applyFill="1" applyAlignment="1" applyProtection="1">
      <alignment vertical="center"/>
      <protection locked="1"/>
    </xf>
    <xf numFmtId="0" fontId="81" fillId="66" borderId="0" xfId="43" applyNumberFormat="1" applyFont="1" applyFill="1" applyAlignment="1" applyProtection="1">
      <alignment vertical="center"/>
      <protection locked="1"/>
    </xf>
    <xf numFmtId="0" fontId="80" fillId="67" borderId="0" xfId="44" applyNumberFormat="1" applyFont="1" applyFill="1" applyAlignment="1" applyProtection="1">
      <alignment vertical="center"/>
      <protection locked="1"/>
    </xf>
    <xf numFmtId="0" fontId="80" fillId="68" borderId="0" xfId="45" applyNumberFormat="1" applyFont="1" applyFill="1" applyAlignment="1" applyProtection="1">
      <alignment vertical="center"/>
      <protection locked="1"/>
    </xf>
    <xf numFmtId="0" fontId="81" fillId="69" borderId="0" xfId="46" applyNumberFormat="1" applyFont="1" applyFill="1" applyAlignment="1" applyProtection="1">
      <alignment vertical="center"/>
      <protection locked="1"/>
    </xf>
    <xf numFmtId="0" fontId="81" fillId="70" borderId="0" xfId="47" applyNumberFormat="1" applyFont="1" applyFill="1" applyAlignment="1" applyProtection="1">
      <alignment vertical="center"/>
      <protection locked="1"/>
    </xf>
    <xf numFmtId="0" fontId="80" fillId="71" borderId="0" xfId="48" applyNumberFormat="1" applyFont="1" applyFill="1" applyAlignment="1" applyProtection="1">
      <alignment vertical="center"/>
      <protection locked="1"/>
    </xf>
    <xf numFmtId="0" fontId="1" fillId="0" borderId="0" xfId="49" applyNumberFormat="1" applyFont="1" applyAlignment="1" applyProtection="1">
      <alignment vertical="bottom"/>
      <protection locked="1"/>
    </xf>
    <xf numFmtId="0" fontId="1" fillId="0" borderId="0" xfId="50" applyNumberFormat="1" applyFont="1" applyAlignment="1" applyProtection="1">
      <alignment vertical="bottom"/>
      <protection locked="1"/>
    </xf>
    <xf numFmtId="0" fontId="82" fillId="0" borderId="0" applyNumberFormat="1" applyFont="1" applyFill="1" applyAlignment="1" applyProtection="1">
      <alignment vertical="top"/>
      <protection locked="0"/>
    </xf>
    <xf numFmtId="505" fontId="59" fillId="0" borderId="1" xfId="0" applyNumberFormat="1" applyFont="1" applyFill="1" applyBorder="1" applyAlignment="1" applyProtection="1">
      <alignment vertical="bottom"/>
    </xf>
    <xf numFmtId="0" fontId="51" fillId="0" borderId="37" xfId="0" applyNumberFormat="1" applyFont="1" applyFill="1" applyBorder="1" applyAlignment="1" applyProtection="1">
      <alignment horizontal="left" vertical="center" wrapText="1"/>
    </xf>
    <xf numFmtId="592" fontId="0" fillId="0" borderId="36" xfId="0" applyNumberFormat="1" applyFont="1" applyFill="1" applyBorder="1" applyAlignment="1" applyProtection="1">
      <alignment horizontal="center" vertical="center" wrapText="1"/>
    </xf>
    <xf numFmtId="592" fontId="0" fillId="0" borderId="42" xfId="0" applyNumberFormat="1" applyFont="1" applyFill="1" applyBorder="1" applyAlignment="1" applyProtection="1">
      <alignment horizontal="center" vertical="center" wrapText="1"/>
    </xf>
    <xf numFmtId="2" fontId="59" fillId="0" borderId="0" xfId="0" applyNumberFormat="1" applyFont="1" applyFill="1" applyBorder="1" applyAlignment="1" applyProtection="1">
      <alignment vertical="bottom"/>
    </xf>
    <xf numFmtId="611" fontId="54" fillId="0" borderId="1" xfId="0" applyNumberFormat="1" applyFont="1" applyFill="1" applyBorder="1" applyAlignment="1" applyProtection="1">
      <alignment horizontal="center" vertical="center" wrapText="1"/>
    </xf>
    <xf numFmtId="2" fontId="0" fillId="0" borderId="4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bottom"/>
    </xf>
    <xf numFmtId="0" fontId="58" fillId="0" borderId="8" xfId="0" applyNumberFormat="1" applyFont="1" applyFill="1" applyBorder="1" applyAlignment="1" applyProtection="1">
      <alignment horizontal="center" vertical="center"/>
    </xf>
    <xf numFmtId="413" fontId="54" fillId="0" borderId="34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62" fillId="0" borderId="36" xfId="0" applyNumberFormat="1" applyFont="1" applyFill="1" applyBorder="1" applyAlignment="1" applyProtection="1">
      <alignment vertical="center" wrapText="1"/>
    </xf>
    <xf numFmtId="573" fontId="54" fillId="0" borderId="8" xfId="0" applyNumberFormat="1" applyFont="1" applyFill="1" applyBorder="1" applyAlignment="1" applyProtection="1">
      <alignment horizontal="center" vertical="center" wrapText="1"/>
    </xf>
    <xf numFmtId="621" fontId="5" fillId="3" borderId="1" xfId="0" applyNumberFormat="1" applyFont="1" applyFill="1" applyBorder="1" applyAlignment="1" applyProtection="1">
      <alignment horizontal="center" vertical="center" wrapText="1"/>
    </xf>
    <xf numFmtId="451" fontId="0" fillId="5" borderId="36" xfId="0" applyNumberFormat="1" applyFont="1" applyFill="1" applyBorder="1" applyAlignment="1" applyProtection="1">
      <alignment horizontal="center" vertical="center" wrapText="1"/>
    </xf>
    <xf numFmtId="365" fontId="0" fillId="0" borderId="1" xfId="0" applyNumberFormat="1" applyFont="1" applyFill="1" applyBorder="1" applyAlignment="1" applyProtection="1">
      <alignment horizontal="center" vertical="center"/>
    </xf>
    <xf numFmtId="0" fontId="0" fillId="0" borderId="45" xfId="0" applyNumberFormat="1" applyFont="1" applyFill="1" applyBorder="1" applyAlignment="1" applyProtection="1">
      <alignment horizontal="center" vertical="center" wrapText="1"/>
    </xf>
  </cellXfs>
  <cellStyles>
    <cellStyle xfId="0" builtinId="0" name="常规"/>
    <cellStyle xfId="1" builtinId="3" name="千位分隔"/>
    <cellStyle xfId="2" builtinId="4" name="货币"/>
    <cellStyle xfId="3" builtinId="5" name="百分比"/>
    <cellStyle xfId="4" builtinId="6" name="千位分隔[0]"/>
    <cellStyle xfId="5" builtinId="7" name="货币[0]"/>
    <cellStyle xfId="6" builtinId="8" name="超链接"/>
    <cellStyle xfId="7" builtinId="9" name="已访问的超链接"/>
    <cellStyle xfId="8" builtinId="10" name="注释"/>
    <cellStyle xfId="9" builtinId="11" name="警告文本"/>
    <cellStyle xfId="10" builtinId="15" name="标题"/>
    <cellStyle xfId="11" builtinId="53" name="解释性文本"/>
    <cellStyle xfId="12" builtinId="16" name="标题 1"/>
    <cellStyle xfId="13" builtinId="17" name="标题 2"/>
    <cellStyle xfId="14" builtinId="18" name="标题 3"/>
    <cellStyle xfId="15" builtinId="19" name="标题 4"/>
    <cellStyle xfId="16" builtinId="20" name="输入"/>
    <cellStyle xfId="17" builtinId="21" name="输出"/>
    <cellStyle xfId="18" builtinId="22" name="计算"/>
    <cellStyle xfId="19" builtinId="23" name="检查单元格"/>
    <cellStyle xfId="20" builtinId="24" name="链接单元格"/>
    <cellStyle xfId="21" builtinId="25" name="汇总"/>
    <cellStyle xfId="22" builtinId="26" name="好"/>
    <cellStyle xfId="23" builtinId="27" name="差"/>
    <cellStyle xfId="24" builtinId="28" name="适中"/>
    <cellStyle xfId="25" builtinId="29" name="着色 1"/>
    <cellStyle xfId="26" builtinId="30" name="20% - 着色 1"/>
    <cellStyle xfId="27" builtinId="31" name="40% - 着色 1"/>
    <cellStyle xfId="28" builtinId="32" name="60% - 着色 1"/>
    <cellStyle xfId="29" builtinId="33" name="着色 2"/>
    <cellStyle xfId="30" builtinId="34" name="20% - 着色 2"/>
    <cellStyle xfId="31" builtinId="35" name="40% - 着色 2"/>
    <cellStyle xfId="32" builtinId="36" name="60% - 着色 2"/>
    <cellStyle xfId="33" builtinId="37" name="着色 3"/>
    <cellStyle xfId="34" builtinId="38" name="20% - 着色 3"/>
    <cellStyle xfId="35" builtinId="39" name="40% - 着色 3"/>
    <cellStyle xfId="36" builtinId="40" name="60% - 着色 3"/>
    <cellStyle xfId="37" builtinId="41" name="着色 4"/>
    <cellStyle xfId="38" builtinId="42" name="20% - 着色 4"/>
    <cellStyle xfId="39" builtinId="43" name="40% - 着色 4"/>
    <cellStyle xfId="40" builtinId="44" name="60% - 着色 4"/>
    <cellStyle xfId="41" builtinId="45" name="着色 5"/>
    <cellStyle xfId="42" builtinId="46" name="20% - 着色 5"/>
    <cellStyle xfId="43" builtinId="47" name="40% - 着色 5"/>
    <cellStyle xfId="44" builtinId="48" name="60% - 着色 5"/>
    <cellStyle xfId="45" builtinId="49" name="着色 6"/>
    <cellStyle xfId="46" builtinId="50" name="20% - 着色 6"/>
    <cellStyle xfId="47" builtinId="51" name="40% - 着色 6"/>
    <cellStyle xfId="48" builtinId="52" name="60% - 着色 6"/>
    <cellStyle xfId="49" name="常规 2"/>
    <cellStyle xfId="50" name="常规 3"/>
  </cellStyles>
  <dxfs>
    <dxf/>
    <dxf>
      <fill>
        <patternFill patternType="solid">
          <fgColor rgb="FFFF0000"/>
          <bgColor rgb="FFFF0000"/>
        </patternFill>
      </fill>
      <protection locked="0" hidden="0"/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worksheet" Target="worksheets/sheet11.xml" Id="rId12" /><Relationship Type="http://schemas.openxmlformats.org/officeDocument/2006/relationships/worksheet" Target="worksheets/sheet12.xml" Id="rId13" /><Relationship Type="http://schemas.openxmlformats.org/officeDocument/2006/relationships/worksheet" Target="worksheets/sheet13.xml" Id="rId14" /><Relationship Type="http://schemas.openxmlformats.org/officeDocument/2006/relationships/worksheet" Target="worksheets/sheet14.xml" Id="rId15" /><Relationship Type="http://schemas.openxmlformats.org/officeDocument/2006/relationships/worksheet" Target="worksheets/sheet15.xml" Id="rId16" /><Relationship Type="http://schemas.openxmlformats.org/officeDocument/2006/relationships/worksheet" Target="worksheets/sheet16.xml" Id="rId17" /><Relationship Type="http://schemas.openxmlformats.org/officeDocument/2006/relationships/worksheet" Target="worksheets/sheet17.xml" Id="rId18" /><Relationship Type="http://schemas.openxmlformats.org/officeDocument/2006/relationships/worksheet" Target="worksheets/sheet18.xml" Id="rId19" /><Relationship Type="http://schemas.openxmlformats.org/officeDocument/2006/relationships/worksheet" Target="worksheets/sheet19.xml" Id="rId20" /><Relationship Type="http://schemas.openxmlformats.org/officeDocument/2006/relationships/sharedStrings" Target="sharedStrings.xml" Id="rId21" /><Relationship Type="http://schemas.openxmlformats.org/officeDocument/2006/relationships/styles" Target="styles.xml" Id="rI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19050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19050" y="57150"/>
          <ext cx="96202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3" name="图片 2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2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113"/>
  <sheetViews>
    <sheetView topLeftCell="A1" workbookViewId="0" zoomScale="70" showGridLines="0" zoomScaleNormal="70" zoomScalePageLayoutView="80">
      <pane topLeftCell="A1"/>
      <selection activeCellId="0" activeCell="Q114" sqref="Q114"/>
    </sheetView>
  </sheetViews>
  <sheetFormatPr defaultColWidth="9" defaultRowHeight="13.5" customHeight="1"/>
  <cols>
    <col min="1" max="1" width="5.38" customWidth="1" style="105"/>
    <col min="2" max="2" width="8.75" customWidth="1" style="105"/>
    <col min="3" max="3" width="8.13" customWidth="1" style="105"/>
    <col min="4" max="5" width="8.5" customWidth="1" style="105"/>
    <col min="6" max="6" width="3.38" customWidth="1" style="105"/>
    <col min="7" max="7" width="3.5" customWidth="1" style="105"/>
    <col min="8" max="8" width="7.5" customWidth="1" style="105"/>
    <col min="9" max="9" width="2.75" customWidth="1" style="105"/>
    <col min="10" max="10" width="6.75" customWidth="1" style="105"/>
    <col min="11" max="11" width="7.5" customWidth="1" style="105"/>
    <col min="12" max="12" width="7.75" customWidth="1" style="105"/>
    <col min="13" max="13" width="8.13" customWidth="1" style="105"/>
    <col min="14" max="14" width="4.75" customWidth="1" style="105"/>
    <col min="15" max="15" width="4.63" customWidth="1" style="145"/>
    <col min="16" max="16" width="5.63" customWidth="1" style="105"/>
    <col min="17" max="17" width="20.5" customWidth="1" style="145"/>
    <col min="18" max="16384" width="9" style="105"/>
  </cols>
  <sheetData>
    <row r="1" ht="20.25" customHeight="1">
      <c r="A1" s="324"/>
      <c s="378"/>
      <c s="269" t="s">
        <v>0</v>
      </c>
      <c s="339"/>
      <c s="339"/>
      <c s="339"/>
      <c s="339"/>
      <c s="339"/>
      <c s="339"/>
      <c s="339"/>
      <c s="330"/>
      <c s="203" t="s">
        <v>1</v>
      </c>
      <c s="367"/>
      <c s="209"/>
      <c s="320"/>
      <c r="Q1" s="332"/>
    </row>
    <row r="2" ht="20.25" customHeight="1">
      <c r="A2" s="226"/>
      <c s="153"/>
      <c s="225" t="s">
        <v>2</v>
      </c>
      <c s="273"/>
      <c s="273"/>
      <c s="273"/>
      <c s="273"/>
      <c s="273"/>
      <c s="273"/>
      <c s="273"/>
      <c s="340"/>
      <c s="203" t="s">
        <v>3</v>
      </c>
      <c s="367"/>
      <c s="209"/>
      <c s="320"/>
      <c r="Q2" s="332"/>
    </row>
    <row r="3" ht="20.25" customHeight="1">
      <c r="A3" s="448"/>
      <c s="359"/>
      <c s="337"/>
      <c s="192"/>
      <c s="192"/>
      <c s="192"/>
      <c s="192"/>
      <c s="192"/>
      <c s="192"/>
      <c s="192"/>
      <c s="363"/>
      <c s="346" t="s">
        <v>4</v>
      </c>
      <c s="445"/>
      <c s="289"/>
      <c s="230"/>
      <c r="Q3" s="332"/>
    </row>
    <row r="4" ht="18" customHeight="1">
      <c r="A4" s="264" t="s">
        <v>5</v>
      </c>
      <c s="263"/>
      <c s="262"/>
      <c s="264" t="s">
        <v>6</v>
      </c>
      <c s="263"/>
      <c s="263"/>
      <c s="262"/>
      <c s="264" t="s">
        <v>7</v>
      </c>
      <c s="263"/>
      <c s="263"/>
      <c s="262"/>
      <c s="264" t="s">
        <v>8</v>
      </c>
      <c s="262"/>
      <c s="264" t="s">
        <v>9</v>
      </c>
      <c s="262"/>
      <c s="343"/>
    </row>
    <row r="5" ht="18" customHeight="1">
      <c r="A5" s="264" t="str">
        <f>IFERROR(VLOOKUP(MID(D5,3,5),'对应信息'!A:B,2,0),"")</f>
        <v>T700AS</v>
      </c>
      <c s="263"/>
      <c s="262"/>
      <c s="173" t="s">
        <v>363</v>
      </c>
      <c s="296"/>
      <c s="296"/>
      <c s="285"/>
      <c s="352">
        <v>1</v>
      </c>
      <c s="274"/>
      <c s="274"/>
      <c s="351"/>
      <c s="264"/>
      <c s="262"/>
      <c s="264"/>
      <c s="262"/>
      <c s="343"/>
    </row>
    <row r="6" ht="18" customHeight="1">
      <c r="A6" s="264" t="s">
        <v>10</v>
      </c>
      <c s="262"/>
      <c s="264"/>
      <c s="262"/>
      <c s="292" t="s">
        <v>11</v>
      </c>
      <c s="150"/>
      <c s="229"/>
      <c s="350"/>
      <c s="206"/>
      <c s="206"/>
      <c s="161"/>
      <c s="264" t="s">
        <v>12</v>
      </c>
      <c s="262"/>
      <c s="264"/>
      <c s="262"/>
      <c s="343"/>
    </row>
    <row r="7" ht="18" customHeight="1">
      <c r="A7" s="264" t="s">
        <v>13</v>
      </c>
      <c s="262"/>
      <c s="292"/>
      <c s="229"/>
      <c s="228" t="s">
        <v>14</v>
      </c>
      <c s="447"/>
      <c s="227"/>
      <c s="292"/>
      <c s="150"/>
      <c s="229"/>
      <c s="283" t="s">
        <v>15</v>
      </c>
      <c s="180"/>
      <c s="444" t="s">
        <v>364</v>
      </c>
      <c s="265"/>
      <c s="199"/>
      <c s="343"/>
    </row>
    <row r="8" ht="19.5" customHeight="1">
      <c r="A8" s="177" t="s">
        <v>16</v>
      </c>
      <c s="264" t="s">
        <v>17</v>
      </c>
      <c s="263"/>
      <c s="262"/>
      <c s="264" t="s">
        <v>18</v>
      </c>
      <c s="263"/>
      <c s="263"/>
      <c s="263"/>
      <c s="263"/>
      <c s="263"/>
      <c s="263"/>
      <c s="263"/>
      <c s="263"/>
      <c s="263"/>
      <c s="262"/>
      <c s="343"/>
    </row>
    <row r="9" ht="18.75" customHeight="1">
      <c r="A9" s="54">
        <v>1</v>
      </c>
      <c s="246" t="s">
        <v>19</v>
      </c>
      <c s="255" t="s">
        <v>20</v>
      </c>
      <c s="249"/>
      <c s="264" t="s">
        <v>21</v>
      </c>
      <c s="263"/>
      <c s="262"/>
      <c s="264" t="s">
        <v>22</v>
      </c>
      <c s="263"/>
      <c s="263"/>
      <c s="263"/>
      <c s="263"/>
      <c s="263"/>
      <c s="263"/>
      <c s="262"/>
      <c s="343"/>
    </row>
    <row r="10" ht="18.75" customHeight="1">
      <c r="A10" s="245"/>
      <c s="245"/>
      <c s="254"/>
      <c s="248"/>
      <c s="264" t="s">
        <v>23</v>
      </c>
      <c s="263"/>
      <c s="262"/>
      <c s="264" t="s">
        <v>24</v>
      </c>
      <c s="263"/>
      <c s="262"/>
      <c s="258" t="s">
        <v>25</v>
      </c>
      <c s="256"/>
      <c s="264" t="s">
        <v>25</v>
      </c>
      <c s="263"/>
      <c s="262"/>
      <c s="343"/>
    </row>
    <row r="11" ht="18.75" customHeight="1">
      <c r="A11" s="245"/>
      <c s="245"/>
      <c s="254"/>
      <c s="248"/>
      <c s="264" t="s">
        <v>26</v>
      </c>
      <c s="263"/>
      <c s="262"/>
      <c s="258" t="str">
        <f>'波长示值误差与重复性校验'!B4</f>
        <v>807.4</v>
      </c>
      <c s="257"/>
      <c s="256"/>
      <c s="258" t="str">
        <f>'波长示值误差与重复性校验'!B2</f>
        <v>656.1</v>
      </c>
      <c s="256"/>
      <c s="258" t="str">
        <f>'波长示值误差与重复性校验'!B3</f>
        <v>486</v>
      </c>
      <c s="257"/>
      <c s="256"/>
      <c s="343"/>
    </row>
    <row r="12" ht="18.75" customHeight="1">
      <c r="A12" s="245"/>
      <c s="245"/>
      <c s="254"/>
      <c s="248"/>
      <c s="255" t="s">
        <v>27</v>
      </c>
      <c s="252"/>
      <c s="249"/>
      <c s="261">
        <f>'波长示值误差与重复性校验'!C4</f>
      </c>
      <c s="260"/>
      <c s="259"/>
      <c s="261">
        <f>'波长示值误差与重复性校验'!C2</f>
      </c>
      <c s="259"/>
      <c s="261">
        <f>'波长示值误差与重复性校验'!C3</f>
      </c>
      <c s="260"/>
      <c s="259"/>
      <c s="343"/>
    </row>
    <row r="13" ht="18.75" customHeight="1">
      <c r="A13" s="245"/>
      <c s="245"/>
      <c s="254"/>
      <c s="248"/>
      <c s="254"/>
      <c s="251"/>
      <c s="248"/>
      <c s="261">
        <f>'波长示值误差与重复性校验'!D4</f>
      </c>
      <c s="260"/>
      <c s="259"/>
      <c s="261">
        <f>'波长示值误差与重复性校验'!D2</f>
      </c>
      <c s="259"/>
      <c s="261">
        <f>'波长示值误差与重复性校验'!D3</f>
      </c>
      <c s="260"/>
      <c s="259"/>
      <c s="343"/>
    </row>
    <row r="14" ht="18.75" customHeight="1">
      <c r="A14" s="245"/>
      <c s="245"/>
      <c s="254"/>
      <c s="248"/>
      <c s="253"/>
      <c s="250"/>
      <c s="247"/>
      <c s="261">
        <f>'波长示值误差与重复性校验'!E4</f>
      </c>
      <c s="260"/>
      <c s="259"/>
      <c s="261">
        <f>'波长示值误差与重复性校验'!E2</f>
      </c>
      <c s="259"/>
      <c s="261">
        <f>'波长示值误差与重复性校验'!E3</f>
      </c>
      <c s="260"/>
      <c s="259"/>
      <c s="343"/>
    </row>
    <row r="15" ht="18.75" customHeight="1">
      <c r="A15" s="245"/>
      <c s="245"/>
      <c s="254"/>
      <c s="248"/>
      <c s="264" t="s">
        <v>28</v>
      </c>
      <c s="263"/>
      <c s="262"/>
      <c s="261" t="str">
        <f>'波长示值误差与重复性校验'!F4</f>
        <v/>
      </c>
      <c s="260"/>
      <c s="259"/>
      <c s="261" t="str">
        <f>'波长示值误差与重复性校验'!F2</f>
        <v/>
      </c>
      <c s="259"/>
      <c s="261" t="str">
        <f>'波长示值误差与重复性校验'!F3</f>
        <v/>
      </c>
      <c s="260"/>
      <c s="259"/>
      <c s="343"/>
    </row>
    <row r="16" ht="18.75" customHeight="1">
      <c r="A16" s="245"/>
      <c s="245"/>
      <c s="254"/>
      <c s="248"/>
      <c s="264" t="s">
        <v>29</v>
      </c>
      <c s="263"/>
      <c s="262"/>
      <c s="261" t="str">
        <f>'波长示值误差与重复性校验'!G4</f>
        <v/>
      </c>
      <c s="260"/>
      <c s="259"/>
      <c s="261" t="str">
        <f>'波长示值误差与重复性校验'!G2</f>
        <v/>
      </c>
      <c s="259"/>
      <c s="261" t="str">
        <f>'波长示值误差与重复性校验'!G3</f>
        <v/>
      </c>
      <c s="260"/>
      <c s="259"/>
      <c s="343"/>
    </row>
    <row r="17" ht="18.75" customHeight="1">
      <c r="A17" s="245"/>
      <c s="244"/>
      <c s="253"/>
      <c s="247"/>
      <c s="264" t="s">
        <v>30</v>
      </c>
      <c s="263"/>
      <c s="262"/>
      <c s="243">
        <f>'波长示值误差与重复性校验'!H4</f>
        <v>0</v>
      </c>
      <c s="242"/>
      <c s="241"/>
      <c s="261">
        <f>'波长示值误差与重复性校验'!H2</f>
        <v>0</v>
      </c>
      <c s="259"/>
      <c s="243">
        <f>'波长示值误差与重复性校验'!H3</f>
        <v>0</v>
      </c>
      <c s="242"/>
      <c s="241"/>
      <c s="343"/>
    </row>
    <row r="18" ht="18.75" customHeight="1">
      <c r="A18" s="245"/>
      <c s="246" t="s">
        <v>31</v>
      </c>
      <c s="255" t="s">
        <v>32</v>
      </c>
      <c s="249"/>
      <c s="264" t="s">
        <v>23</v>
      </c>
      <c s="263"/>
      <c s="262"/>
      <c s="264" t="s">
        <v>33</v>
      </c>
      <c s="263"/>
      <c s="263"/>
      <c s="263"/>
      <c s="263"/>
      <c s="263"/>
      <c s="263"/>
      <c s="262"/>
      <c s="343"/>
      <c s="332"/>
    </row>
    <row r="19" ht="19.5" customHeight="1">
      <c r="A19" s="245"/>
      <c s="245"/>
      <c s="254"/>
      <c s="248"/>
      <c s="255" t="s">
        <v>26</v>
      </c>
      <c s="252"/>
      <c s="249"/>
      <c s="237" t="str">
        <f>'波长示值误差与重复性校验'!B5</f>
        <v>640.7</v>
      </c>
      <c s="235"/>
      <c s="233" t="str">
        <f>'波长示值误差与重复性校验'!B6</f>
        <v>536.8</v>
      </c>
      <c s="233" t="str">
        <f>'波长示值误差与重复性校验'!B7</f>
        <v>416.5</v>
      </c>
      <c s="233" t="str">
        <f>'波长示值误差与重复性校验'!B8</f>
        <v>361.0</v>
      </c>
      <c s="233" t="str">
        <f>'波长示值误差与重复性校验'!B9</f>
        <v>287.4</v>
      </c>
      <c s="237" t="str">
        <f>'波长示值误差与重复性校验'!B10</f>
        <v>241.0</v>
      </c>
      <c s="235"/>
      <c s="343"/>
      <c s="332"/>
    </row>
    <row r="20" hidden="1" ht="19.5" customHeight="1">
      <c r="A20" s="245"/>
      <c s="245"/>
      <c s="254"/>
      <c s="248"/>
      <c s="253"/>
      <c s="250"/>
      <c s="247"/>
      <c s="236"/>
      <c s="234"/>
      <c s="232"/>
      <c s="232"/>
      <c s="232"/>
      <c s="232"/>
      <c s="236"/>
      <c s="234"/>
      <c s="343"/>
      <c s="332"/>
    </row>
    <row r="21" ht="19.5" customHeight="1">
      <c r="A21" s="245"/>
      <c s="245"/>
      <c s="254"/>
      <c s="248"/>
      <c s="255" t="s">
        <v>34</v>
      </c>
      <c s="252"/>
      <c s="249"/>
      <c s="181">
        <f>'波长示值误差与重复性校验'!C5</f>
      </c>
      <c s="442"/>
      <c s="239">
        <f>'波长示值误差与重复性校验'!C6</f>
      </c>
      <c s="239">
        <f>'波长示值误差与重复性校验'!C7</f>
      </c>
      <c s="239">
        <f>'波长示值误差与重复性校验'!C8</f>
      </c>
      <c s="239">
        <f>'波长示值误差与重复性校验'!C9</f>
      </c>
      <c s="181">
        <f>'波长示值误差与重复性校验'!C10</f>
      </c>
      <c s="442"/>
      <c s="343"/>
      <c s="332"/>
    </row>
    <row r="22" hidden="1" ht="19.5" customHeight="1">
      <c r="A22" s="245"/>
      <c s="245"/>
      <c s="254"/>
      <c s="248"/>
      <c s="254"/>
      <c s="251"/>
      <c s="248"/>
      <c s="187"/>
      <c s="240"/>
      <c s="238"/>
      <c s="238"/>
      <c s="238"/>
      <c s="238"/>
      <c s="187"/>
      <c s="240"/>
      <c s="343"/>
      <c s="332"/>
    </row>
    <row r="23" ht="19.5" customHeight="1">
      <c r="A23" s="245"/>
      <c s="245"/>
      <c s="254"/>
      <c s="248"/>
      <c s="254"/>
      <c s="251"/>
      <c s="248"/>
      <c s="181">
        <f>'波长示值误差与重复性校验'!D5</f>
      </c>
      <c s="442"/>
      <c s="239">
        <f>'波长示值误差与重复性校验'!D6</f>
      </c>
      <c s="239">
        <f>'波长示值误差与重复性校验'!D7</f>
      </c>
      <c s="239">
        <f>'波长示值误差与重复性校验'!D8</f>
      </c>
      <c s="239">
        <f>'波长示值误差与重复性校验'!D9</f>
      </c>
      <c s="181">
        <f>'波长示值误差与重复性校验'!D10</f>
      </c>
      <c s="442"/>
      <c s="343"/>
      <c s="332"/>
    </row>
    <row r="24" hidden="1" ht="19.5" customHeight="1">
      <c r="A24" s="245"/>
      <c s="245"/>
      <c s="254"/>
      <c s="248"/>
      <c s="254"/>
      <c s="251"/>
      <c s="248"/>
      <c s="187"/>
      <c s="240"/>
      <c s="238"/>
      <c s="238"/>
      <c s="238"/>
      <c s="238"/>
      <c s="187"/>
      <c s="240"/>
      <c s="343"/>
      <c s="332"/>
    </row>
    <row r="25" ht="19.5" customHeight="1">
      <c r="A25" s="245"/>
      <c s="245"/>
      <c s="254"/>
      <c s="248"/>
      <c s="254"/>
      <c s="251"/>
      <c s="248"/>
      <c s="181">
        <f>'波长示值误差与重复性校验'!E5</f>
      </c>
      <c s="442"/>
      <c s="239">
        <f>'波长示值误差与重复性校验'!E6</f>
      </c>
      <c s="239">
        <f>'波长示值误差与重复性校验'!E7</f>
      </c>
      <c s="239">
        <f>'波长示值误差与重复性校验'!E8</f>
      </c>
      <c s="239">
        <f>'波长示值误差与重复性校验'!E9</f>
      </c>
      <c s="181">
        <f>'波长示值误差与重复性校验'!E10</f>
      </c>
      <c s="442"/>
      <c s="343"/>
      <c s="332"/>
    </row>
    <row r="26" hidden="1" ht="19.5" customHeight="1">
      <c r="A26" s="245"/>
      <c s="245"/>
      <c s="254"/>
      <c s="248"/>
      <c s="253"/>
      <c s="250"/>
      <c s="247"/>
      <c s="187"/>
      <c s="240"/>
      <c s="238"/>
      <c s="238"/>
      <c s="238"/>
      <c s="238"/>
      <c s="187"/>
      <c s="240"/>
      <c s="343"/>
      <c s="332"/>
    </row>
    <row r="27" ht="19.5" customHeight="1">
      <c r="A27" s="245"/>
      <c s="245"/>
      <c s="254"/>
      <c s="248"/>
      <c s="255" t="s">
        <v>28</v>
      </c>
      <c s="252"/>
      <c s="249"/>
      <c s="181" t="str">
        <f>'波长示值误差与重复性校验'!F5</f>
        <v/>
      </c>
      <c s="442"/>
      <c s="239" t="str">
        <f>'波长示值误差与重复性校验'!F6</f>
        <v/>
      </c>
      <c s="239" t="str">
        <f>'波长示值误差与重复性校验'!F7</f>
        <v/>
      </c>
      <c s="239" t="str">
        <f>'波长示值误差与重复性校验'!F8</f>
        <v/>
      </c>
      <c s="239" t="str">
        <f>'波长示值误差与重复性校验'!F9</f>
        <v/>
      </c>
      <c s="181" t="str">
        <f>'波长示值误差与重复性校验'!F10</f>
        <v/>
      </c>
      <c s="442"/>
      <c s="343"/>
      <c s="332"/>
    </row>
    <row r="28" hidden="1" ht="19.5" customHeight="1">
      <c r="A28" s="245"/>
      <c s="245"/>
      <c s="254"/>
      <c s="248"/>
      <c s="253"/>
      <c s="250"/>
      <c s="247"/>
      <c s="187"/>
      <c s="240"/>
      <c s="238"/>
      <c s="238"/>
      <c s="238"/>
      <c s="238"/>
      <c s="187"/>
      <c s="240"/>
      <c s="343"/>
      <c s="332"/>
    </row>
    <row r="29" ht="19.5" customHeight="1">
      <c r="A29" s="245"/>
      <c s="245"/>
      <c s="254"/>
      <c s="248"/>
      <c s="255" t="s">
        <v>29</v>
      </c>
      <c s="252"/>
      <c s="249"/>
      <c s="181" t="str">
        <f>'波长示值误差与重复性校验'!G5</f>
        <v/>
      </c>
      <c s="442"/>
      <c s="239" t="str">
        <f>'波长示值误差与重复性校验'!G6</f>
        <v/>
      </c>
      <c s="239" t="str">
        <f>'波长示值误差与重复性校验'!G7</f>
        <v/>
      </c>
      <c s="239" t="str">
        <f>'波长示值误差与重复性校验'!G8</f>
        <v/>
      </c>
      <c s="239" t="str">
        <f>'波长示值误差与重复性校验'!G9</f>
        <v/>
      </c>
      <c s="181" t="str">
        <f>'波长示值误差与重复性校验'!G10</f>
        <v/>
      </c>
      <c s="442"/>
      <c s="343"/>
      <c s="332"/>
    </row>
    <row r="30" hidden="1" ht="19.5" customHeight="1">
      <c r="A30" s="245"/>
      <c s="245"/>
      <c s="254"/>
      <c s="248"/>
      <c s="253"/>
      <c s="250"/>
      <c s="247"/>
      <c s="187"/>
      <c s="240"/>
      <c s="238"/>
      <c s="238"/>
      <c s="238"/>
      <c s="238"/>
      <c s="187"/>
      <c s="240"/>
      <c s="343"/>
      <c s="332"/>
    </row>
    <row r="31" ht="19.5" customHeight="1">
      <c r="A31" s="245"/>
      <c s="245"/>
      <c s="254"/>
      <c s="248"/>
      <c s="255" t="s">
        <v>30</v>
      </c>
      <c s="252"/>
      <c s="249"/>
      <c s="56">
        <f>'波长示值误差与重复性校验'!H5</f>
        <v>0</v>
      </c>
      <c s="282"/>
      <c s="276">
        <f>'波长示值误差与重复性校验'!H6</f>
        <v>0</v>
      </c>
      <c s="276">
        <f>'波长示值误差与重复性校验'!H7</f>
        <v>0</v>
      </c>
      <c s="276">
        <f>'波长示值误差与重复性校验'!H8</f>
        <v>0</v>
      </c>
      <c s="276">
        <f>'波长示值误差与重复性校验'!H9</f>
        <v>0</v>
      </c>
      <c s="56">
        <f>'波长示值误差与重复性校验'!H10</f>
        <v>0</v>
      </c>
      <c s="282"/>
      <c s="343"/>
      <c s="332"/>
    </row>
    <row r="32" hidden="1" ht="19.5" customHeight="1">
      <c r="A32" s="244"/>
      <c s="244"/>
      <c s="253"/>
      <c s="247"/>
      <c s="253"/>
      <c s="250"/>
      <c s="247"/>
      <c s="438"/>
      <c s="439"/>
      <c s="281"/>
      <c s="281"/>
      <c s="281"/>
      <c s="281"/>
      <c s="438"/>
      <c s="439"/>
      <c s="343"/>
      <c s="332"/>
    </row>
    <row r="33" ht="15" customHeight="1">
      <c r="A33" s="54">
        <v>2</v>
      </c>
      <c s="246" t="s">
        <v>35</v>
      </c>
      <c s="255" t="s">
        <v>36</v>
      </c>
      <c s="249"/>
      <c s="255" t="s">
        <v>23</v>
      </c>
      <c s="252"/>
      <c s="249"/>
      <c s="255" t="s">
        <v>37</v>
      </c>
      <c s="252"/>
      <c s="252"/>
      <c s="252"/>
      <c s="252"/>
      <c s="252"/>
      <c s="252"/>
      <c s="249"/>
      <c s="343"/>
      <c s="332"/>
    </row>
    <row r="34" ht="15" customHeight="1">
      <c r="A34" s="245"/>
      <c s="245"/>
      <c s="254"/>
      <c s="248"/>
      <c s="253"/>
      <c s="250"/>
      <c s="247"/>
      <c s="253"/>
      <c s="250"/>
      <c s="250"/>
      <c s="250"/>
      <c s="250"/>
      <c s="250"/>
      <c s="250"/>
      <c s="247"/>
      <c s="343"/>
      <c s="332"/>
    </row>
    <row r="35" ht="19.5" customHeight="1">
      <c r="A35" s="245"/>
      <c s="245"/>
      <c s="254"/>
      <c s="248"/>
      <c s="264" t="s">
        <v>38</v>
      </c>
      <c s="262"/>
      <c s="264" t="s">
        <v>39</v>
      </c>
      <c s="262"/>
      <c s="48">
        <f>'透射比示值误差与重复性校验'!B6</f>
        <v>635</v>
      </c>
      <c s="263"/>
      <c s="262"/>
      <c s="48">
        <f>'透射比示值误差与重复性校验'!B7</f>
        <v>546</v>
      </c>
      <c s="262"/>
      <c s="48">
        <f>'透射比示值误差与重复性校验'!B8</f>
        <v>440</v>
      </c>
      <c s="262"/>
      <c s="343"/>
      <c s="332"/>
    </row>
    <row r="36" ht="19.5" customHeight="1">
      <c r="A36" s="245"/>
      <c s="245"/>
      <c s="254"/>
      <c s="248"/>
      <c s="255" t="s">
        <v>40</v>
      </c>
      <c s="249"/>
      <c s="264" t="s">
        <v>41</v>
      </c>
      <c s="262"/>
      <c s="258">
        <f>'透射比示值误差与重复性校验'!C6</f>
        <v>7.62</v>
      </c>
      <c s="257"/>
      <c s="256"/>
      <c s="258">
        <f>'透射比示值误差与重复性校验'!C7</f>
        <v>11.03</v>
      </c>
      <c s="256"/>
      <c s="258">
        <f>'透射比示值误差与重复性校验'!C8</f>
        <v>11.46</v>
      </c>
      <c s="256"/>
      <c s="343"/>
      <c s="332"/>
    </row>
    <row r="37" ht="19.5" customHeight="1">
      <c r="A37" s="245"/>
      <c s="245"/>
      <c s="254"/>
      <c s="248"/>
      <c s="254"/>
      <c s="248"/>
      <c s="255" t="s">
        <v>42</v>
      </c>
      <c s="249"/>
      <c s="261">
        <f>'透射比示值误差与重复性校验'!D6</f>
      </c>
      <c s="260"/>
      <c s="259"/>
      <c s="261">
        <f>'透射比示值误差与重复性校验'!D7</f>
      </c>
      <c s="259"/>
      <c s="261">
        <f>'透射比示值误差与重复性校验'!D8</f>
      </c>
      <c s="259"/>
      <c s="343"/>
      <c s="332"/>
    </row>
    <row r="38" ht="19.5" customHeight="1">
      <c r="A38" s="245"/>
      <c s="245"/>
      <c s="254"/>
      <c s="248"/>
      <c s="254"/>
      <c s="248"/>
      <c s="254"/>
      <c s="248"/>
      <c s="261">
        <f>'透射比示值误差与重复性校验'!E6</f>
      </c>
      <c s="260"/>
      <c s="259"/>
      <c s="261">
        <f>'透射比示值误差与重复性校验'!E7</f>
      </c>
      <c s="259"/>
      <c s="261">
        <f>'透射比示值误差与重复性校验'!E8</f>
      </c>
      <c s="259"/>
      <c s="343"/>
      <c s="332"/>
    </row>
    <row r="39" ht="19.5" customHeight="1">
      <c r="A39" s="245"/>
      <c s="245"/>
      <c s="254"/>
      <c s="248"/>
      <c s="254"/>
      <c s="248"/>
      <c s="253"/>
      <c s="247"/>
      <c s="261">
        <f>'透射比示值误差与重复性校验'!F6</f>
      </c>
      <c s="260"/>
      <c s="259"/>
      <c s="261">
        <f>'透射比示值误差与重复性校验'!F7</f>
      </c>
      <c s="259"/>
      <c s="261">
        <f>'透射比示值误差与重复性校验'!F8</f>
      </c>
      <c s="259"/>
      <c s="343"/>
      <c s="332"/>
    </row>
    <row r="40" ht="19.5" customHeight="1">
      <c r="A40" s="245"/>
      <c s="245"/>
      <c s="254"/>
      <c s="248"/>
      <c s="254"/>
      <c s="248"/>
      <c s="264" t="s">
        <v>43</v>
      </c>
      <c s="262"/>
      <c s="261" t="str">
        <f>'透射比示值误差与重复性校验'!G6</f>
        <v/>
      </c>
      <c s="260"/>
      <c s="259"/>
      <c s="261" t="str">
        <f>'透射比示值误差与重复性校验'!G7</f>
        <v/>
      </c>
      <c s="259"/>
      <c s="261" t="str">
        <f>'透射比示值误差与重复性校验'!G8</f>
        <v/>
      </c>
      <c s="259"/>
      <c s="343"/>
      <c s="332"/>
    </row>
    <row r="41" ht="19.5" customHeight="1">
      <c r="A41" s="245"/>
      <c s="245"/>
      <c s="254"/>
      <c s="248"/>
      <c s="254"/>
      <c s="248"/>
      <c s="264" t="s">
        <v>44</v>
      </c>
      <c s="262"/>
      <c s="261" t="str">
        <f>'透射比示值误差与重复性校验'!H6</f>
        <v/>
      </c>
      <c s="260"/>
      <c s="259"/>
      <c s="261" t="str">
        <f>'透射比示值误差与重复性校验'!H7</f>
        <v/>
      </c>
      <c s="259"/>
      <c s="261" t="str">
        <f>'透射比示值误差与重复性校验'!H8</f>
        <v/>
      </c>
      <c s="259"/>
      <c s="343"/>
      <c s="332"/>
    </row>
    <row r="42" ht="19.5" customHeight="1">
      <c r="A42" s="245"/>
      <c s="245"/>
      <c s="254"/>
      <c s="248"/>
      <c s="253"/>
      <c s="247"/>
      <c s="264" t="s">
        <v>45</v>
      </c>
      <c s="262"/>
      <c s="261">
        <f>'透射比示值误差与重复性校验'!I6</f>
        <v>0</v>
      </c>
      <c s="260"/>
      <c s="259"/>
      <c s="261">
        <f>'透射比示值误差与重复性校验'!I7</f>
        <v>0</v>
      </c>
      <c s="259"/>
      <c s="261">
        <f>'透射比示值误差与重复性校验'!I8</f>
        <v>0</v>
      </c>
      <c s="259"/>
      <c s="343"/>
      <c s="332"/>
    </row>
    <row r="43" ht="19.5" customHeight="1">
      <c r="A43" s="245"/>
      <c s="245"/>
      <c s="254"/>
      <c s="248"/>
      <c s="255" t="s">
        <v>46</v>
      </c>
      <c s="249"/>
      <c s="264" t="s">
        <v>41</v>
      </c>
      <c s="262"/>
      <c s="258">
        <f>'透射比示值误差与重复性校验'!C9</f>
        <v>17.64</v>
      </c>
      <c s="257"/>
      <c s="256"/>
      <c s="258">
        <f>'透射比示值误差与重复性校验'!C10</f>
        <v>21.74</v>
      </c>
      <c s="256"/>
      <c s="258">
        <f>'透射比示值误差与重复性校验'!C11</f>
        <v>21.92</v>
      </c>
      <c s="256"/>
      <c s="343"/>
      <c s="332"/>
    </row>
    <row r="44" ht="19.5" customHeight="1">
      <c r="A44" s="245"/>
      <c s="245"/>
      <c s="254"/>
      <c s="248"/>
      <c s="254"/>
      <c s="248"/>
      <c s="255" t="s">
        <v>42</v>
      </c>
      <c s="249"/>
      <c s="261">
        <f>'透射比示值误差与重复性校验'!D9</f>
      </c>
      <c s="260"/>
      <c s="259"/>
      <c s="261">
        <f>'透射比示值误差与重复性校验'!D10</f>
      </c>
      <c s="259"/>
      <c s="261">
        <f>'透射比示值误差与重复性校验'!D11</f>
      </c>
      <c s="259"/>
      <c s="343"/>
      <c s="332"/>
    </row>
    <row r="45" ht="19.5" customHeight="1">
      <c r="A45" s="245"/>
      <c s="245"/>
      <c s="254"/>
      <c s="248"/>
      <c s="254"/>
      <c s="248"/>
      <c s="254"/>
      <c s="248"/>
      <c s="261">
        <f>'透射比示值误差与重复性校验'!E9</f>
      </c>
      <c s="260"/>
      <c s="259"/>
      <c s="261">
        <f>'透射比示值误差与重复性校验'!E10</f>
      </c>
      <c s="259"/>
      <c s="261">
        <f>'透射比示值误差与重复性校验'!E11</f>
      </c>
      <c s="259"/>
      <c s="343"/>
      <c s="332"/>
    </row>
    <row r="46" ht="19.5" customHeight="1">
      <c r="A46" s="245"/>
      <c s="245"/>
      <c s="254"/>
      <c s="248"/>
      <c s="254"/>
      <c s="248"/>
      <c s="253"/>
      <c s="247"/>
      <c s="261">
        <f>'透射比示值误差与重复性校验'!F9</f>
      </c>
      <c s="260"/>
      <c s="259"/>
      <c s="261">
        <f>'透射比示值误差与重复性校验'!F10</f>
      </c>
      <c s="259"/>
      <c s="261">
        <f>'透射比示值误差与重复性校验'!F11</f>
      </c>
      <c s="259"/>
      <c s="343"/>
      <c s="332"/>
    </row>
    <row r="47" ht="19.5" customHeight="1">
      <c r="A47" s="245"/>
      <c s="245"/>
      <c s="254"/>
      <c s="248"/>
      <c s="254"/>
      <c s="248"/>
      <c s="264" t="s">
        <v>43</v>
      </c>
      <c s="262"/>
      <c s="261" t="str">
        <f>'透射比示值误差与重复性校验'!G9</f>
        <v/>
      </c>
      <c s="260"/>
      <c s="259"/>
      <c s="261" t="str">
        <f>'透射比示值误差与重复性校验'!G10</f>
        <v/>
      </c>
      <c s="259"/>
      <c s="261" t="str">
        <f>'透射比示值误差与重复性校验'!G11</f>
        <v/>
      </c>
      <c s="259"/>
      <c s="343"/>
      <c s="332"/>
    </row>
    <row r="48" ht="19.5" customHeight="1">
      <c r="A48" s="245"/>
      <c s="245"/>
      <c s="254"/>
      <c s="248"/>
      <c s="254"/>
      <c s="248"/>
      <c s="264" t="s">
        <v>44</v>
      </c>
      <c s="262"/>
      <c s="261" t="str">
        <f>'透射比示值误差与重复性校验'!H9</f>
        <v/>
      </c>
      <c s="260"/>
      <c s="259"/>
      <c s="261" t="str">
        <f>'透射比示值误差与重复性校验'!H10</f>
        <v/>
      </c>
      <c s="259"/>
      <c s="261" t="str">
        <f>'透射比示值误差与重复性校验'!H11</f>
        <v/>
      </c>
      <c s="259"/>
      <c s="343"/>
      <c s="332"/>
    </row>
    <row r="49" ht="19.5" customHeight="1">
      <c r="A49" s="244"/>
      <c s="244"/>
      <c s="253"/>
      <c s="247"/>
      <c s="253"/>
      <c s="247"/>
      <c s="264" t="s">
        <v>45</v>
      </c>
      <c s="262"/>
      <c s="258">
        <f>'透射比示值误差与重复性校验'!I9</f>
        <v>0</v>
      </c>
      <c s="257"/>
      <c s="256"/>
      <c s="261">
        <f>'透射比示值误差与重复性校验'!I10</f>
        <v>0</v>
      </c>
      <c s="259"/>
      <c s="258">
        <f>'透射比示值误差与重复性校验'!I11</f>
        <v>0</v>
      </c>
      <c s="256"/>
      <c s="343"/>
      <c s="332"/>
    </row>
    <row r="50" ht="19.5" customHeight="1">
      <c r="A50" s="54">
        <v>2</v>
      </c>
      <c s="246" t="s">
        <v>35</v>
      </c>
      <c s="255" t="s">
        <v>47</v>
      </c>
      <c s="249"/>
      <c s="255" t="s">
        <v>48</v>
      </c>
      <c s="249"/>
      <c s="264" t="s">
        <v>41</v>
      </c>
      <c s="262"/>
      <c s="258">
        <f>'透射比示值误差与重复性校验'!C12</f>
        <v>23.59</v>
      </c>
      <c s="257"/>
      <c s="256"/>
      <c s="258">
        <f>'透射比示值误差与重复性校验'!C13</f>
        <v>29.32</v>
      </c>
      <c s="256"/>
      <c s="258">
        <f>'透射比示值误差与重复性校验'!C14</f>
        <v>29.91</v>
      </c>
      <c s="256"/>
      <c s="343"/>
      <c s="332"/>
    </row>
    <row r="51" ht="19.5" customHeight="1">
      <c r="A51" s="245"/>
      <c s="245"/>
      <c s="254"/>
      <c s="248"/>
      <c s="254"/>
      <c s="248"/>
      <c s="255" t="s">
        <v>42</v>
      </c>
      <c s="249"/>
      <c s="261">
        <f>'透射比示值误差与重复性校验'!D12</f>
      </c>
      <c s="260"/>
      <c s="259"/>
      <c s="261">
        <f>'透射比示值误差与重复性校验'!D13</f>
      </c>
      <c s="259"/>
      <c s="261">
        <f>'透射比示值误差与重复性校验'!D14</f>
      </c>
      <c s="259"/>
      <c s="343"/>
      <c s="332"/>
    </row>
    <row r="52" ht="19.5" customHeight="1">
      <c r="A52" s="245"/>
      <c s="245"/>
      <c s="254"/>
      <c s="248"/>
      <c s="254"/>
      <c s="248"/>
      <c s="254"/>
      <c s="248"/>
      <c s="261">
        <f>'透射比示值误差与重复性校验'!E12</f>
      </c>
      <c s="260"/>
      <c s="259"/>
      <c s="261">
        <f>'透射比示值误差与重复性校验'!E13</f>
      </c>
      <c s="259"/>
      <c s="261">
        <f>'透射比示值误差与重复性校验'!E14</f>
      </c>
      <c s="259"/>
      <c s="343"/>
      <c s="332"/>
    </row>
    <row r="53" ht="19.5" customHeight="1">
      <c r="A53" s="245"/>
      <c s="245"/>
      <c s="254"/>
      <c s="248"/>
      <c s="254"/>
      <c s="248"/>
      <c s="253"/>
      <c s="247"/>
      <c s="261">
        <f>'透射比示值误差与重复性校验'!F12</f>
      </c>
      <c s="260"/>
      <c s="259"/>
      <c s="261">
        <f>'透射比示值误差与重复性校验'!F13</f>
      </c>
      <c s="259"/>
      <c s="261">
        <f>'透射比示值误差与重复性校验'!F14</f>
      </c>
      <c s="259"/>
      <c s="343"/>
      <c s="332"/>
    </row>
    <row r="54" ht="19.5" customHeight="1">
      <c r="A54" s="245"/>
      <c s="245"/>
      <c s="254"/>
      <c s="248"/>
      <c s="254"/>
      <c s="248"/>
      <c s="264" t="s">
        <v>43</v>
      </c>
      <c s="262"/>
      <c s="261" t="str">
        <f>'透射比示值误差与重复性校验'!G12</f>
        <v/>
      </c>
      <c s="260"/>
      <c s="259"/>
      <c s="261" t="str">
        <f>'透射比示值误差与重复性校验'!G13</f>
        <v/>
      </c>
      <c s="259"/>
      <c s="261" t="str">
        <f>'透射比示值误差与重复性校验'!G14</f>
        <v/>
      </c>
      <c s="259"/>
      <c s="343"/>
      <c s="332"/>
    </row>
    <row r="55" ht="19.5" customHeight="1">
      <c r="A55" s="245"/>
      <c s="245"/>
      <c s="254"/>
      <c s="248"/>
      <c s="254"/>
      <c s="248"/>
      <c s="264" t="s">
        <v>44</v>
      </c>
      <c s="262"/>
      <c s="261" t="str">
        <f>'透射比示值误差与重复性校验'!H12</f>
        <v/>
      </c>
      <c s="260"/>
      <c s="259"/>
      <c s="261" t="str">
        <f>'透射比示值误差与重复性校验'!H13</f>
        <v/>
      </c>
      <c s="259"/>
      <c s="261" t="str">
        <f>'透射比示值误差与重复性校验'!H14</f>
        <v/>
      </c>
      <c s="259"/>
      <c s="343"/>
      <c s="332"/>
    </row>
    <row r="56" ht="19.5" customHeight="1">
      <c r="A56" s="244"/>
      <c s="244"/>
      <c s="253"/>
      <c s="247"/>
      <c s="253"/>
      <c s="247"/>
      <c s="264" t="s">
        <v>45</v>
      </c>
      <c s="262"/>
      <c s="261">
        <f>'透射比示值误差与重复性校验'!I12</f>
        <v>0</v>
      </c>
      <c s="260"/>
      <c s="259"/>
      <c s="261">
        <f>'透射比示值误差与重复性校验'!I13</f>
        <v>0</v>
      </c>
      <c s="259"/>
      <c s="261">
        <f>'透射比示值误差与重复性校验'!I14</f>
        <v>0</v>
      </c>
      <c s="259"/>
      <c s="343"/>
      <c s="332"/>
    </row>
    <row r="57" ht="19.5" customHeight="1">
      <c r="A57" s="54">
        <v>3</v>
      </c>
      <c s="246" t="s">
        <v>49</v>
      </c>
      <c s="255" t="s">
        <v>36</v>
      </c>
      <c s="249"/>
      <c s="264" t="s">
        <v>23</v>
      </c>
      <c s="263"/>
      <c s="262"/>
      <c s="264" t="s">
        <v>50</v>
      </c>
      <c s="263"/>
      <c s="263"/>
      <c s="263"/>
      <c s="263"/>
      <c s="263"/>
      <c s="263"/>
      <c s="262"/>
      <c s="343"/>
      <c s="332"/>
    </row>
    <row r="58" ht="19.5" customHeight="1">
      <c r="A58" s="245"/>
      <c s="245"/>
      <c s="254"/>
      <c s="248"/>
      <c s="255" t="s">
        <v>51</v>
      </c>
      <c s="252"/>
      <c s="249"/>
      <c s="48">
        <f>'透射比示值误差与重复性校验'!B2</f>
        <v>350</v>
      </c>
      <c s="262"/>
      <c s="48">
        <f>'透射比示值误差与重复性校验'!B3</f>
        <v>313</v>
      </c>
      <c s="262"/>
      <c s="81">
        <f>'透射比示值误差与重复性校验'!B4</f>
        <v>257</v>
      </c>
      <c s="323"/>
      <c s="81">
        <f>'透射比示值误差与重复性校验'!B5</f>
        <v>235</v>
      </c>
      <c s="323"/>
      <c s="343"/>
      <c s="332"/>
    </row>
    <row r="59" ht="19.5" customHeight="1">
      <c r="A59" s="245"/>
      <c s="245"/>
      <c s="254"/>
      <c s="248"/>
      <c s="253"/>
      <c s="250"/>
      <c s="247"/>
      <c s="258">
        <f>'透射比示值误差与重复性校验'!C2</f>
        <v>23.2</v>
      </c>
      <c s="256"/>
      <c s="258">
        <f>'透射比示值误差与重复性校验'!C3</f>
        <v>51.58</v>
      </c>
      <c s="256"/>
      <c s="299">
        <f>'透射比示值误差与重复性校验'!C4</f>
        <v>14.06</v>
      </c>
      <c s="179"/>
      <c s="299">
        <f>'透射比示值误差与重复性校验'!C5</f>
        <v>18.42</v>
      </c>
      <c s="179"/>
      <c s="343"/>
      <c s="332"/>
    </row>
    <row r="60" ht="19.5" customHeight="1">
      <c r="A60" s="245"/>
      <c s="245"/>
      <c s="254"/>
      <c s="248"/>
      <c s="255" t="s">
        <v>52</v>
      </c>
      <c s="252"/>
      <c s="249"/>
      <c s="261">
        <f>'透射比示值误差与重复性校验'!D2</f>
      </c>
      <c s="259"/>
      <c s="261">
        <f>'透射比示值误差与重复性校验'!D3</f>
      </c>
      <c s="259"/>
      <c s="191">
        <f>'透射比示值误差与重复性校验'!D4</f>
      </c>
      <c s="164"/>
      <c s="191">
        <f>'透射比示值误差与重复性校验'!D5</f>
      </c>
      <c s="164"/>
      <c s="343"/>
      <c s="332"/>
    </row>
    <row r="61" ht="19.5" customHeight="1">
      <c r="A61" s="245"/>
      <c s="245"/>
      <c s="254"/>
      <c s="248"/>
      <c s="254"/>
      <c s="251"/>
      <c s="248"/>
      <c s="261">
        <f>'透射比示值误差与重复性校验'!E2</f>
      </c>
      <c s="259"/>
      <c s="261">
        <f>'透射比示值误差与重复性校验'!E3</f>
      </c>
      <c s="259"/>
      <c s="191">
        <f>'透射比示值误差与重复性校验'!E4</f>
      </c>
      <c s="164"/>
      <c s="191">
        <f>'透射比示值误差与重复性校验'!E5</f>
      </c>
      <c s="164"/>
      <c s="343"/>
      <c s="332"/>
    </row>
    <row r="62" ht="19.5" customHeight="1">
      <c r="A62" s="245"/>
      <c s="245"/>
      <c s="254"/>
      <c s="248"/>
      <c s="253"/>
      <c s="250"/>
      <c s="247"/>
      <c s="261">
        <f>'透射比示值误差与重复性校验'!F2</f>
      </c>
      <c s="259"/>
      <c s="261">
        <f>'透射比示值误差与重复性校验'!F3</f>
      </c>
      <c s="259"/>
      <c s="191">
        <f>'透射比示值误差与重复性校验'!F4</f>
      </c>
      <c s="164"/>
      <c s="191">
        <f>'透射比示值误差与重复性校验'!F5</f>
      </c>
      <c s="164"/>
      <c s="343"/>
      <c s="332"/>
    </row>
    <row r="63" ht="19.5" customHeight="1">
      <c r="A63" s="245"/>
      <c s="245"/>
      <c s="254"/>
      <c s="248"/>
      <c s="264" t="s">
        <v>43</v>
      </c>
      <c s="263"/>
      <c s="262"/>
      <c s="261" t="str">
        <f>'透射比示值误差与重复性校验'!G2</f>
        <v/>
      </c>
      <c s="259"/>
      <c s="261" t="str">
        <f>'透射比示值误差与重复性校验'!G3</f>
        <v/>
      </c>
      <c s="259"/>
      <c s="261" t="str">
        <f>'透射比示值误差与重复性校验'!G4</f>
        <v/>
      </c>
      <c s="259"/>
      <c s="261" t="str">
        <f>'透射比示值误差与重复性校验'!G5</f>
        <v/>
      </c>
      <c s="259"/>
      <c s="343"/>
      <c s="332"/>
    </row>
    <row r="64" ht="19.5" customHeight="1">
      <c r="A64" s="245"/>
      <c s="245"/>
      <c s="254"/>
      <c s="248"/>
      <c s="264" t="s">
        <v>44</v>
      </c>
      <c s="263"/>
      <c s="262"/>
      <c s="261" t="str">
        <f>'透射比示值误差与重复性校验'!H2</f>
        <v/>
      </c>
      <c s="259"/>
      <c s="261" t="str">
        <f>'透射比示值误差与重复性校验'!H3</f>
        <v/>
      </c>
      <c s="259"/>
      <c s="261" t="str">
        <f>'透射比示值误差与重复性校验'!H4</f>
        <v/>
      </c>
      <c s="259"/>
      <c s="261" t="str">
        <f>'透射比示值误差与重复性校验'!H5</f>
        <v/>
      </c>
      <c s="259"/>
      <c s="343"/>
      <c s="332"/>
    </row>
    <row r="65" ht="19.5" customHeight="1">
      <c r="A65" s="244"/>
      <c s="244"/>
      <c s="253"/>
      <c s="247"/>
      <c s="264" t="s">
        <v>45</v>
      </c>
      <c s="263"/>
      <c s="262"/>
      <c s="258">
        <f>'透射比示值误差与重复性校验'!I2</f>
        <v>0</v>
      </c>
      <c s="256"/>
      <c s="258">
        <f>'透射比示值误差与重复性校验'!I3</f>
        <v>0</v>
      </c>
      <c s="256"/>
      <c s="258">
        <f>'透射比示值误差与重复性校验'!I4</f>
        <v>0</v>
      </c>
      <c s="256"/>
      <c s="258">
        <f>'透射比示值误差与重复性校验'!I5</f>
        <v>0</v>
      </c>
      <c s="256"/>
      <c s="343"/>
      <c s="332"/>
    </row>
    <row r="66" ht="19.5" customHeight="1">
      <c r="A66" s="54">
        <v>4</v>
      </c>
      <c s="284" t="s">
        <v>53</v>
      </c>
      <c s="255"/>
      <c s="249"/>
      <c s="216" t="s">
        <v>54</v>
      </c>
      <c s="356"/>
      <c s="154"/>
      <c s="216"/>
      <c s="154"/>
      <c s="54">
        <v>1</v>
      </c>
      <c s="54">
        <v>2</v>
      </c>
      <c s="54">
        <v>3</v>
      </c>
      <c s="288" t="s">
        <v>18</v>
      </c>
      <c s="333"/>
      <c s="223"/>
      <c s="343"/>
      <c s="332"/>
    </row>
    <row r="67" hidden="1" ht="30" customHeight="1">
      <c r="A67" s="245"/>
      <c s="62"/>
      <c s="253"/>
      <c s="247"/>
      <c s="217"/>
      <c s="355"/>
      <c s="271"/>
      <c s="217"/>
      <c s="271"/>
      <c s="244"/>
      <c s="244"/>
      <c s="244"/>
      <c s="362"/>
      <c s="224"/>
      <c s="222"/>
      <c s="343"/>
      <c s="332"/>
    </row>
    <row r="68" ht="19.5" customHeight="1">
      <c r="A68" s="245"/>
      <c s="62"/>
      <c s="335" t="s">
        <v>55</v>
      </c>
      <c s="246" t="s">
        <v>56</v>
      </c>
      <c s="216" t="s">
        <v>57</v>
      </c>
      <c s="356"/>
      <c s="154"/>
      <c s="255" t="s">
        <v>58</v>
      </c>
      <c s="249"/>
      <c s="345">
        <f>'杂散光校验'!C2</f>
      </c>
      <c s="305">
        <f>'杂散光校验'!D2</f>
      </c>
      <c s="305">
        <f>'杂散光校验'!E2</f>
      </c>
      <c s="288" t="str">
        <f>'杂散光校验'!G2</f>
        <v>未检测</v>
      </c>
      <c s="333"/>
      <c s="223"/>
      <c s="343"/>
      <c s="332"/>
    </row>
    <row r="69" hidden="1" ht="30" customHeight="1">
      <c r="A69" s="245"/>
      <c s="62"/>
      <c s="325"/>
      <c s="244"/>
      <c s="217"/>
      <c s="355"/>
      <c s="271"/>
      <c s="254"/>
      <c s="248"/>
      <c s="147"/>
      <c s="304"/>
      <c s="304"/>
      <c s="362"/>
      <c s="224"/>
      <c s="222"/>
      <c s="343"/>
      <c s="332"/>
    </row>
    <row r="70" ht="30" customHeight="1">
      <c r="A70" s="245"/>
      <c s="62"/>
      <c s="335" t="s">
        <v>59</v>
      </c>
      <c s="246" t="s">
        <v>60</v>
      </c>
      <c s="216" t="s">
        <v>61</v>
      </c>
      <c s="356"/>
      <c s="154"/>
      <c s="254"/>
      <c s="248"/>
      <c s="345">
        <f>'杂散光校验'!C3</f>
      </c>
      <c s="305">
        <f>'杂散光校验'!D3</f>
      </c>
      <c s="305">
        <f>'杂散光校验'!E3</f>
      </c>
      <c s="288" t="str">
        <f>'杂散光校验'!G3</f>
        <v>未检测</v>
      </c>
      <c s="333"/>
      <c s="223"/>
      <c s="343"/>
      <c s="332"/>
    </row>
    <row r="71" hidden="1" ht="30" customHeight="1">
      <c r="A71" s="244"/>
      <c s="170"/>
      <c s="325"/>
      <c s="244"/>
      <c s="217"/>
      <c s="355"/>
      <c s="271"/>
      <c s="253"/>
      <c s="247"/>
      <c s="147"/>
      <c s="304"/>
      <c s="304"/>
      <c s="362"/>
      <c s="224"/>
      <c s="222"/>
      <c s="343"/>
      <c s="332"/>
    </row>
    <row r="72" ht="30" customHeight="1">
      <c r="A72" s="54">
        <v>5</v>
      </c>
      <c s="284" t="s">
        <v>62</v>
      </c>
      <c s="255" t="s">
        <v>63</v>
      </c>
      <c s="252"/>
      <c s="252"/>
      <c s="252"/>
      <c s="249"/>
      <c s="255" t="s">
        <v>64</v>
      </c>
      <c s="252"/>
      <c s="252"/>
      <c s="252"/>
      <c s="249"/>
      <c s="446">
        <f>'基线平直度检验'!B2</f>
      </c>
      <c s="342"/>
      <c s="198"/>
      <c s="343"/>
      <c s="332"/>
    </row>
    <row r="73" hidden="1" ht="30" customHeight="1">
      <c r="A73" s="244"/>
      <c s="170"/>
      <c s="253"/>
      <c s="250"/>
      <c s="250"/>
      <c s="250"/>
      <c s="247"/>
      <c s="253"/>
      <c s="250"/>
      <c s="250"/>
      <c s="250"/>
      <c s="247"/>
      <c s="207"/>
      <c s="316"/>
      <c s="317"/>
      <c s="343"/>
      <c s="332"/>
    </row>
    <row r="74" ht="30" customHeight="1">
      <c r="A74" s="88">
        <v>6</v>
      </c>
      <c s="284" t="s">
        <v>65</v>
      </c>
      <c s="255" t="s">
        <v>66</v>
      </c>
      <c s="252"/>
      <c s="252"/>
      <c s="252"/>
      <c s="249"/>
      <c s="255" t="s">
        <v>52</v>
      </c>
      <c s="252"/>
      <c s="252"/>
      <c s="252"/>
      <c s="249"/>
      <c s="313">
        <f>'基线暗噪声检验'!B2</f>
      </c>
      <c s="149"/>
      <c s="148"/>
      <c s="343"/>
      <c s="332"/>
    </row>
    <row r="75" hidden="1" ht="30" customHeight="1">
      <c r="A75" s="170"/>
      <c s="170"/>
      <c s="253"/>
      <c s="250"/>
      <c s="250"/>
      <c s="250"/>
      <c s="247"/>
      <c s="253"/>
      <c s="250"/>
      <c s="250"/>
      <c s="250"/>
      <c s="247"/>
      <c s="368"/>
      <c s="152"/>
      <c s="341"/>
      <c s="343"/>
      <c s="332"/>
    </row>
    <row r="76" ht="30" customHeight="1">
      <c r="A76" s="88">
        <v>7</v>
      </c>
      <c s="284" t="s">
        <v>67</v>
      </c>
      <c s="255" t="s">
        <v>68</v>
      </c>
      <c s="249"/>
      <c s="204" t="s">
        <v>69</v>
      </c>
      <c s="354"/>
      <c s="194"/>
      <c s="205" t="s">
        <v>70</v>
      </c>
      <c s="182" t="s">
        <v>71</v>
      </c>
      <c s="449"/>
      <c s="205" t="s">
        <v>72</v>
      </c>
      <c s="205" t="s">
        <v>73</v>
      </c>
      <c s="205" t="s">
        <v>74</v>
      </c>
      <c s="216"/>
      <c s="154"/>
      <c s="343"/>
      <c s="332"/>
    </row>
    <row r="77" ht="20.25" customHeight="1">
      <c r="A77" s="62"/>
      <c s="62"/>
      <c s="254"/>
      <c s="248"/>
      <c s="204" t="s">
        <v>27</v>
      </c>
      <c s="354"/>
      <c s="194"/>
      <c s="441">
        <f>'光谱带宽与仪器最小光谱带宽'!D2</f>
      </c>
      <c s="286">
        <f>'光谱带宽与仪器最小光谱带宽'!D3</f>
      </c>
      <c s="287"/>
      <c s="441">
        <f>'光谱带宽与仪器最小光谱带宽'!D4</f>
      </c>
      <c s="441">
        <f>'光谱带宽与仪器最小光谱带宽'!D5</f>
      </c>
      <c s="441">
        <f>'光谱带宽与仪器最小光谱带宽'!D6</f>
      </c>
      <c s="215"/>
      <c s="197"/>
      <c s="343"/>
      <c s="332"/>
    </row>
    <row r="78" ht="20.25" customHeight="1">
      <c r="A78" s="170"/>
      <c s="170"/>
      <c s="253"/>
      <c s="247"/>
      <c s="264" t="s">
        <v>75</v>
      </c>
      <c s="263"/>
      <c s="262"/>
      <c s="168">
        <f>'光谱带宽与仪器最小光谱带宽'!E2</f>
        <v>-100</v>
      </c>
      <c s="208">
        <f>'光谱带宽与仪器最小光谱带宽'!E3</f>
        <v>-100</v>
      </c>
      <c s="312"/>
      <c s="168">
        <f>'光谱带宽与仪器最小光谱带宽'!E4</f>
        <v>-100</v>
      </c>
      <c s="168">
        <f>'光谱带宽与仪器最小光谱带宽'!E5</f>
        <v>-100</v>
      </c>
      <c s="168">
        <f>'光谱带宽与仪器最小光谱带宽'!E6</f>
        <v>-100</v>
      </c>
      <c s="217"/>
      <c s="271"/>
      <c s="343"/>
      <c s="332"/>
    </row>
    <row r="79" ht="30" customHeight="1">
      <c r="A79" s="88">
        <v>8</v>
      </c>
      <c s="284" t="s">
        <v>76</v>
      </c>
      <c s="336">
        <v>1</v>
      </c>
      <c s="246" t="s">
        <v>77</v>
      </c>
      <c s="216" t="s">
        <v>52</v>
      </c>
      <c s="356"/>
      <c s="154"/>
      <c s="338">
        <f>'噪声检验'!C2</f>
      </c>
      <c s="365"/>
      <c s="334">
        <v>0</v>
      </c>
      <c s="255" t="s">
        <v>78</v>
      </c>
      <c s="249"/>
      <c s="246" t="s">
        <v>58</v>
      </c>
      <c s="321">
        <f>'噪声检验'!C2</f>
      </c>
      <c s="157"/>
      <c s="343"/>
      <c s="332"/>
    </row>
    <row r="80" hidden="1" ht="30" customHeight="1">
      <c r="A80" s="62"/>
      <c s="170"/>
      <c s="174"/>
      <c s="244"/>
      <c s="217"/>
      <c s="355"/>
      <c s="271"/>
      <c s="370"/>
      <c s="364"/>
      <c s="361"/>
      <c s="253"/>
      <c s="247"/>
      <c s="244"/>
      <c s="451"/>
      <c s="306"/>
      <c s="343"/>
      <c s="332"/>
    </row>
    <row r="81" ht="30" customHeight="1">
      <c r="A81" s="62"/>
      <c s="284" t="s">
        <v>79</v>
      </c>
      <c s="336">
        <v>1</v>
      </c>
      <c s="246" t="s">
        <v>77</v>
      </c>
      <c s="216" t="s">
        <v>52</v>
      </c>
      <c s="356"/>
      <c s="154"/>
      <c s="338">
        <f>'噪声检验'!C4</f>
      </c>
      <c s="365"/>
      <c s="334">
        <v>0</v>
      </c>
      <c s="255" t="s">
        <v>78</v>
      </c>
      <c s="249"/>
      <c s="246" t="s">
        <v>58</v>
      </c>
      <c s="321">
        <f>'噪声检验'!C3</f>
      </c>
      <c s="157"/>
      <c s="343"/>
      <c s="332"/>
    </row>
    <row r="82" hidden="1" ht="30" customHeight="1">
      <c r="A82" s="62"/>
      <c s="170"/>
      <c s="174"/>
      <c s="244"/>
      <c s="217"/>
      <c s="355"/>
      <c s="271"/>
      <c s="370"/>
      <c s="364"/>
      <c s="361"/>
      <c s="253"/>
      <c s="247"/>
      <c s="244"/>
      <c s="451"/>
      <c s="306"/>
      <c s="343"/>
      <c s="332"/>
    </row>
    <row r="83" ht="45" customHeight="1">
      <c r="A83" s="62"/>
      <c s="284" t="s">
        <v>80</v>
      </c>
      <c s="336">
        <v>1</v>
      </c>
      <c s="246" t="s">
        <v>81</v>
      </c>
      <c s="216" t="s">
        <v>52</v>
      </c>
      <c s="356"/>
      <c s="154"/>
      <c s="181">
        <f>'波长边缘噪声'!C2</f>
      </c>
      <c s="442"/>
      <c s="334">
        <v>0</v>
      </c>
      <c s="255" t="s">
        <v>60</v>
      </c>
      <c s="249"/>
      <c s="246" t="s">
        <v>58</v>
      </c>
      <c s="321">
        <f>'噪声检验'!C4</f>
      </c>
      <c s="157"/>
      <c s="343"/>
      <c s="332"/>
    </row>
    <row r="84" hidden="1" ht="45" customHeight="1">
      <c r="A84" s="62"/>
      <c s="170"/>
      <c s="174"/>
      <c s="244"/>
      <c s="217"/>
      <c s="355"/>
      <c s="271"/>
      <c s="187"/>
      <c s="240"/>
      <c s="361"/>
      <c s="253"/>
      <c s="247"/>
      <c s="244"/>
      <c s="451"/>
      <c s="306"/>
      <c s="343"/>
      <c s="332"/>
    </row>
    <row r="85" ht="30" customHeight="1">
      <c r="A85" s="62"/>
      <c s="284" t="s">
        <v>82</v>
      </c>
      <c s="336">
        <v>1</v>
      </c>
      <c s="246" t="s">
        <v>81</v>
      </c>
      <c s="216" t="s">
        <v>52</v>
      </c>
      <c s="356"/>
      <c s="154"/>
      <c s="181">
        <f>'波长边缘噪声'!C4</f>
      </c>
      <c s="442"/>
      <c s="334">
        <v>0</v>
      </c>
      <c s="255" t="s">
        <v>60</v>
      </c>
      <c s="249"/>
      <c s="246" t="s">
        <v>58</v>
      </c>
      <c s="321">
        <f>'噪声检验'!C5</f>
      </c>
      <c s="157"/>
      <c s="343"/>
      <c s="332"/>
    </row>
    <row r="86" hidden="1" ht="30" customHeight="1">
      <c r="A86" s="170"/>
      <c s="170"/>
      <c s="174"/>
      <c s="244"/>
      <c s="217"/>
      <c s="355"/>
      <c s="271"/>
      <c s="187"/>
      <c s="240"/>
      <c s="361"/>
      <c s="253"/>
      <c s="247"/>
      <c s="244"/>
      <c s="451"/>
      <c s="306"/>
      <c s="343"/>
      <c s="332"/>
    </row>
    <row r="87" ht="24.75" customHeight="1">
      <c r="A87" s="88">
        <v>9</v>
      </c>
      <c s="284" t="s">
        <v>83</v>
      </c>
      <c s="216" t="s">
        <v>84</v>
      </c>
      <c s="356"/>
      <c s="356"/>
      <c s="356"/>
      <c s="154"/>
      <c s="186" t="s">
        <v>52</v>
      </c>
      <c s="185"/>
      <c s="185"/>
      <c s="185"/>
      <c s="231"/>
      <c s="313">
        <f>'漂移检验'!C2</f>
      </c>
      <c s="149"/>
      <c s="148"/>
      <c s="343"/>
      <c s="332"/>
    </row>
    <row r="88" hidden="1" ht="24.75" customHeight="1">
      <c r="A88" s="170"/>
      <c s="170"/>
      <c s="217"/>
      <c s="355"/>
      <c s="355"/>
      <c s="355"/>
      <c s="271"/>
      <c s="188"/>
      <c s="322"/>
      <c s="322"/>
      <c s="322"/>
      <c s="201"/>
      <c s="368"/>
      <c s="152"/>
      <c s="341"/>
      <c s="343"/>
      <c s="332"/>
    </row>
    <row r="89" ht="21.75" customHeight="1">
      <c r="A89" s="88">
        <v>10</v>
      </c>
      <c s="284" t="s">
        <v>85</v>
      </c>
      <c s="284" t="s">
        <v>86</v>
      </c>
      <c s="255" t="s">
        <v>54</v>
      </c>
      <c s="249"/>
      <c s="216" t="s">
        <v>87</v>
      </c>
      <c s="356"/>
      <c s="356"/>
      <c s="356"/>
      <c s="356"/>
      <c s="154"/>
      <c s="246" t="s">
        <v>88</v>
      </c>
      <c s="246" t="s">
        <v>89</v>
      </c>
      <c s="288" t="s">
        <v>90</v>
      </c>
      <c s="223"/>
      <c s="343"/>
      <c s="332"/>
    </row>
    <row r="90" hidden="1" ht="21.75" customHeight="1">
      <c r="A90" s="62"/>
      <c s="62"/>
      <c s="62"/>
      <c s="253"/>
      <c s="247"/>
      <c s="217"/>
      <c s="355"/>
      <c s="355"/>
      <c s="355"/>
      <c s="355"/>
      <c s="271"/>
      <c s="244"/>
      <c s="244"/>
      <c s="362"/>
      <c s="222"/>
      <c s="343"/>
      <c s="332"/>
    </row>
    <row r="91" ht="21.75" customHeight="1">
      <c r="A91" s="62"/>
      <c s="62"/>
      <c s="62"/>
      <c s="255" t="s">
        <v>91</v>
      </c>
      <c s="249"/>
      <c s="216" t="s">
        <v>92</v>
      </c>
      <c s="356"/>
      <c s="356"/>
      <c s="356"/>
      <c s="356"/>
      <c s="154"/>
      <c s="284"/>
      <c s="284"/>
      <c s="216"/>
      <c s="154"/>
      <c s="343"/>
      <c s="332"/>
    </row>
    <row r="92" hidden="1" ht="21.75" customHeight="1">
      <c r="A92" s="62"/>
      <c s="62"/>
      <c s="62"/>
      <c s="254"/>
      <c s="248"/>
      <c s="217"/>
      <c s="355"/>
      <c s="355"/>
      <c s="355"/>
      <c s="355"/>
      <c s="271"/>
      <c s="170"/>
      <c s="170"/>
      <c s="217"/>
      <c s="271"/>
      <c s="343"/>
      <c s="332"/>
    </row>
    <row r="93" ht="21.75" customHeight="1">
      <c r="A93" s="62"/>
      <c s="62"/>
      <c s="62"/>
      <c s="254"/>
      <c s="248"/>
      <c s="216" t="s">
        <v>93</v>
      </c>
      <c s="356"/>
      <c s="356"/>
      <c s="356"/>
      <c s="356"/>
      <c s="154"/>
      <c s="77"/>
      <c s="77"/>
      <c s="307"/>
      <c s="158"/>
      <c s="343"/>
      <c s="332"/>
    </row>
    <row r="94" hidden="1" ht="21.75" customHeight="1">
      <c r="A94" s="62"/>
      <c s="62"/>
      <c s="62"/>
      <c s="254"/>
      <c s="248"/>
      <c s="217"/>
      <c s="355"/>
      <c s="355"/>
      <c s="355"/>
      <c s="355"/>
      <c s="271"/>
      <c s="65"/>
      <c s="65"/>
      <c s="302"/>
      <c s="272"/>
      <c s="343"/>
      <c s="332"/>
    </row>
    <row r="95" ht="21.75" customHeight="1">
      <c r="A95" s="62"/>
      <c s="62"/>
      <c s="62"/>
      <c s="254"/>
      <c s="248"/>
      <c s="216" t="s">
        <v>94</v>
      </c>
      <c s="356"/>
      <c s="356"/>
      <c s="356"/>
      <c s="356"/>
      <c s="154"/>
      <c s="284"/>
      <c s="284"/>
      <c s="216"/>
      <c s="154"/>
      <c s="343"/>
      <c s="332"/>
    </row>
    <row r="96" hidden="1" ht="21.75" customHeight="1">
      <c r="A96" s="62"/>
      <c s="62"/>
      <c s="62"/>
      <c s="254"/>
      <c s="248"/>
      <c s="217"/>
      <c s="355"/>
      <c s="355"/>
      <c s="355"/>
      <c s="355"/>
      <c s="271"/>
      <c s="170"/>
      <c s="170"/>
      <c s="217"/>
      <c s="271"/>
      <c s="343"/>
      <c s="332"/>
    </row>
    <row r="97" ht="21.75" customHeight="1">
      <c r="A97" s="62"/>
      <c s="62"/>
      <c s="62"/>
      <c s="254"/>
      <c s="248"/>
      <c s="216" t="s">
        <v>95</v>
      </c>
      <c s="356"/>
      <c s="356"/>
      <c s="356"/>
      <c s="356"/>
      <c s="154"/>
      <c s="284"/>
      <c s="284"/>
      <c s="216"/>
      <c s="154"/>
      <c s="343"/>
      <c s="332"/>
    </row>
    <row r="98" hidden="1" ht="21.75" customHeight="1">
      <c r="A98" s="170"/>
      <c s="170"/>
      <c s="170"/>
      <c s="253"/>
      <c s="247"/>
      <c s="217"/>
      <c s="355"/>
      <c s="355"/>
      <c s="355"/>
      <c s="355"/>
      <c s="271"/>
      <c s="170"/>
      <c s="170"/>
      <c s="217"/>
      <c s="271"/>
      <c s="343"/>
      <c s="332"/>
    </row>
    <row r="99" ht="30" customHeight="1">
      <c r="A99" s="88">
        <v>11</v>
      </c>
      <c s="284" t="s">
        <v>96</v>
      </c>
      <c s="216" t="s">
        <v>97</v>
      </c>
      <c s="356"/>
      <c s="154"/>
      <c s="216" t="s">
        <v>98</v>
      </c>
      <c s="356"/>
      <c s="356"/>
      <c s="356"/>
      <c s="356"/>
      <c s="154"/>
      <c s="216" t="s">
        <v>99</v>
      </c>
      <c s="356"/>
      <c s="356"/>
      <c s="154"/>
      <c s="343"/>
      <c s="332"/>
    </row>
    <row r="100" hidden="1" ht="30" customHeight="1">
      <c r="A100" s="170"/>
      <c s="170"/>
      <c s="217"/>
      <c s="355"/>
      <c s="271"/>
      <c s="217"/>
      <c s="355"/>
      <c s="355"/>
      <c s="355"/>
      <c s="355"/>
      <c s="271"/>
      <c s="217"/>
      <c s="355"/>
      <c s="355"/>
      <c s="271"/>
      <c s="343"/>
      <c s="332"/>
    </row>
    <row r="101" ht="30" customHeight="1">
      <c r="A101" s="88">
        <v>12</v>
      </c>
      <c s="284" t="s">
        <v>100</v>
      </c>
      <c s="204" t="s">
        <v>101</v>
      </c>
      <c s="354"/>
      <c s="194"/>
      <c s="216" t="s">
        <v>102</v>
      </c>
      <c s="356"/>
      <c s="356"/>
      <c s="356"/>
      <c s="356"/>
      <c s="154"/>
      <c s="204" t="s">
        <v>103</v>
      </c>
      <c s="194"/>
      <c s="204"/>
      <c s="194"/>
      <c s="343"/>
      <c s="332"/>
    </row>
    <row r="102" ht="30" customHeight="1">
      <c r="A102" s="170"/>
      <c s="170"/>
      <c s="204" t="s">
        <v>104</v>
      </c>
      <c s="354"/>
      <c s="194"/>
      <c s="217"/>
      <c s="355"/>
      <c s="355"/>
      <c s="355"/>
      <c s="355"/>
      <c s="271"/>
      <c s="204" t="s">
        <v>103</v>
      </c>
      <c s="194"/>
      <c s="204"/>
      <c s="194"/>
      <c s="343"/>
      <c s="332"/>
    </row>
    <row r="103" ht="30" customHeight="1">
      <c r="A103" s="88">
        <v>13</v>
      </c>
      <c s="284" t="s">
        <v>105</v>
      </c>
      <c s="216" t="s">
        <v>106</v>
      </c>
      <c s="356"/>
      <c s="154"/>
      <c s="216" t="s">
        <v>107</v>
      </c>
      <c s="356"/>
      <c s="356"/>
      <c s="356"/>
      <c s="356"/>
      <c s="154"/>
      <c s="216" t="s">
        <v>108</v>
      </c>
      <c s="154"/>
      <c s="216"/>
      <c s="154"/>
      <c s="343"/>
      <c s="332"/>
    </row>
    <row r="104" hidden="1" ht="30" customHeight="1">
      <c r="A104" s="170"/>
      <c s="170"/>
      <c s="217"/>
      <c s="355"/>
      <c s="271"/>
      <c s="217"/>
      <c s="355"/>
      <c s="355"/>
      <c s="355"/>
      <c s="355"/>
      <c s="271"/>
      <c s="217"/>
      <c s="271"/>
      <c s="217"/>
      <c s="271"/>
      <c s="343"/>
      <c s="332"/>
    </row>
    <row r="105" ht="30" customHeight="1">
      <c r="A105" s="88">
        <v>14</v>
      </c>
      <c s="284" t="s">
        <v>109</v>
      </c>
      <c s="216" t="s">
        <v>110</v>
      </c>
      <c s="356"/>
      <c s="154"/>
      <c s="216" t="s">
        <v>111</v>
      </c>
      <c s="356"/>
      <c s="356"/>
      <c s="356"/>
      <c s="356"/>
      <c s="154"/>
      <c s="216" t="s">
        <v>112</v>
      </c>
      <c s="154"/>
      <c s="216"/>
      <c s="154"/>
      <c s="343"/>
      <c s="332"/>
    </row>
    <row r="106" hidden="1" ht="30" customHeight="1">
      <c r="A106" s="170"/>
      <c s="170"/>
      <c s="217"/>
      <c s="355"/>
      <c s="271"/>
      <c s="217"/>
      <c s="355"/>
      <c s="355"/>
      <c s="355"/>
      <c s="355"/>
      <c s="271"/>
      <c s="217"/>
      <c s="271"/>
      <c s="217"/>
      <c s="271"/>
      <c s="343"/>
      <c s="332"/>
    </row>
    <row r="107" ht="30" customHeight="1">
      <c r="A107" s="375">
        <v>15</v>
      </c>
      <c s="204" t="s">
        <v>113</v>
      </c>
      <c s="194"/>
      <c s="204" t="s">
        <v>114</v>
      </c>
      <c s="354"/>
      <c s="194"/>
      <c s="204" t="s">
        <v>115</v>
      </c>
      <c s="354"/>
      <c s="194"/>
      <c s="204" t="str">
        <f>IFERROR(MID('样品池准确度与重复性校验'!A1,SEARCH("样品池 1 (%) =",'样品池准确度与重复性校验'!A1)+LEN("样品池 1 (%) ="),SEARCH(CHAR(10),'样品池准确度与重复性校验'!A1,SEARCH("样品池 1 (%) =",'样品池准确度与重复性校验'!A1))-SEARCH("样品池 1 (%) =",'样品池准确度与重复性校验'!A1)-LEN("样品池 1 (%) =")),"")</f>
        <v/>
      </c>
      <c s="194"/>
      <c s="175" t="s">
        <v>45</v>
      </c>
      <c s="204" t="str">
        <f>IFERROR(MID('样品池准确度与重复性校验'!A1,SEARCH("最大值与最小值差值为：",'样品池准确度与重复性校验'!A1)+LEN("最大值与最小值差值为："),FIND(CHAR(10),'样品池准确度与重复性校验'!A1,SEARCH("最大值与最小值差值为：",'样品池准确度与重复性校验'!A1))-SEARCH("最大值与最小值差值为：",'样品池准确度与重复性校验'!A1)-LEN("最大值与最小值差值为：")),"")</f>
        <v/>
      </c>
      <c s="354"/>
      <c s="194"/>
      <c s="343"/>
      <c s="332"/>
    </row>
    <row r="108" ht="77.25" customHeight="1">
      <c r="A108" s="93">
        <v>16</v>
      </c>
      <c s="318" t="s">
        <v>116</v>
      </c>
      <c s="210" t="s">
        <v>117</v>
      </c>
      <c s="156"/>
      <c s="156"/>
      <c s="156"/>
      <c s="156"/>
      <c s="156"/>
      <c s="156"/>
      <c s="156"/>
      <c s="156"/>
      <c s="156"/>
      <c s="107"/>
      <c s="360" t="s">
        <v>118</v>
      </c>
      <c s="218"/>
      <c s="343"/>
      <c s="332"/>
    </row>
    <row r="109" ht="30" customHeight="1">
      <c r="A109" s="347"/>
      <c s="453"/>
      <c s="344"/>
      <c s="176"/>
      <c s="176"/>
      <c s="176"/>
      <c s="176"/>
      <c s="176"/>
      <c s="176"/>
      <c s="176"/>
      <c s="176"/>
      <c s="176"/>
      <c s="366"/>
      <c s="169"/>
      <c s="196"/>
      <c s="343"/>
      <c s="332"/>
    </row>
    <row r="110" ht="27.75" customHeight="1">
      <c r="A110" s="204" t="s">
        <v>119</v>
      </c>
      <c s="194"/>
      <c s="204" t="s">
        <v>120</v>
      </c>
      <c s="354"/>
      <c s="354"/>
      <c s="354"/>
      <c s="354"/>
      <c s="354"/>
      <c s="354"/>
      <c s="354"/>
      <c s="354"/>
      <c s="354"/>
      <c s="354"/>
      <c s="354"/>
      <c s="194"/>
      <c s="343"/>
      <c s="332"/>
    </row>
    <row r="111" ht="14.25" customHeight="1">
      <c r="A111" s="255" t="s">
        <v>121</v>
      </c>
      <c s="249"/>
      <c s="155" t="s">
        <v>122</v>
      </c>
      <c s="437"/>
      <c s="437"/>
      <c s="437"/>
      <c s="437"/>
      <c s="437"/>
      <c s="437"/>
      <c s="437"/>
      <c s="437"/>
      <c s="437"/>
      <c s="437"/>
      <c s="437"/>
      <c s="303"/>
      <c s="343"/>
      <c s="332"/>
    </row>
    <row r="112" ht="14.25" customHeight="1">
      <c r="A112" s="254"/>
      <c s="248"/>
      <c s="290"/>
      <c s="46"/>
      <c s="46"/>
      <c s="46"/>
      <c s="46"/>
      <c s="46"/>
      <c s="46"/>
      <c s="46"/>
      <c s="46"/>
      <c s="46"/>
      <c s="46"/>
      <c s="46"/>
      <c s="369"/>
      <c s="343"/>
      <c s="332"/>
    </row>
    <row r="113" ht="27" customHeight="1">
      <c r="A113" s="253"/>
      <c s="247"/>
      <c s="275"/>
      <c s="160"/>
      <c s="160"/>
      <c s="160"/>
      <c s="160"/>
      <c s="160"/>
      <c s="160"/>
      <c s="160"/>
      <c s="160"/>
      <c s="160"/>
      <c s="160"/>
      <c s="160"/>
      <c s="308"/>
      <c s="343"/>
      <c s="332"/>
    </row>
  </sheetData>
  <mergeCells>
    <mergeCell ref="E15:G15"/>
    <mergeCell ref="H15:J15"/>
    <mergeCell ref="H14:J14"/>
    <mergeCell ref="H10:J10"/>
    <mergeCell ref="H11:J11"/>
    <mergeCell ref="H12:J12"/>
    <mergeCell ref="E18:G18"/>
    <mergeCell ref="E12:G14"/>
    <mergeCell ref="C9:D17"/>
    <mergeCell ref="B9:B17"/>
    <mergeCell ref="B18:B32"/>
    <mergeCell ref="A9:A32"/>
    <mergeCell ref="C18:D32"/>
    <mergeCell ref="M14:O14"/>
    <mergeCell ref="M12:O12"/>
    <mergeCell ref="M11:O11"/>
    <mergeCell ref="K14:L14"/>
    <mergeCell ref="K13:L13"/>
    <mergeCell ref="K12:L12"/>
    <mergeCell ref="K11:L11"/>
    <mergeCell ref="H13:J13"/>
    <mergeCell ref="M13:O13"/>
    <mergeCell ref="E11:G11"/>
    <mergeCell ref="K15:L15"/>
    <mergeCell ref="M15:O15"/>
    <mergeCell ref="M16:O16"/>
    <mergeCell ref="M17:O17"/>
    <mergeCell ref="E17:G17"/>
    <mergeCell ref="H17:J17"/>
    <mergeCell ref="K17:L17"/>
    <mergeCell ref="K16:L16"/>
    <mergeCell ref="H16:J16"/>
    <mergeCell ref="E16:G16"/>
    <mergeCell ref="E21:G26"/>
    <mergeCell ref="H21:I22"/>
    <mergeCell ref="N25:O26"/>
    <mergeCell ref="M25:M26"/>
    <mergeCell ref="L25:L26"/>
    <mergeCell ref="H25:I26"/>
    <mergeCell ref="J25:J26"/>
    <mergeCell ref="K25:K26"/>
    <mergeCell ref="N23:O24"/>
    <mergeCell ref="M23:M24"/>
    <mergeCell ref="L23:L24"/>
    <mergeCell ref="H23:I24"/>
    <mergeCell ref="J23:J24"/>
    <mergeCell ref="K23:K24"/>
    <mergeCell ref="K21:K22"/>
    <mergeCell ref="N21:O22"/>
    <mergeCell ref="M21:M22"/>
    <mergeCell ref="L21:L22"/>
    <mergeCell ref="J21:J22"/>
    <mergeCell ref="H18:O18"/>
    <mergeCell ref="N19:O20"/>
    <mergeCell ref="M19:M20"/>
    <mergeCell ref="L19:L20"/>
    <mergeCell ref="J19:J20"/>
    <mergeCell ref="K19:K20"/>
    <mergeCell ref="E19:G20"/>
    <mergeCell ref="H19:I20"/>
    <mergeCell ref="H4:K4"/>
    <mergeCell ref="H5:K5"/>
    <mergeCell ref="H6:K6"/>
    <mergeCell ref="K7:L7"/>
    <mergeCell ref="K10:L10"/>
    <mergeCell ref="E9:G9"/>
    <mergeCell ref="E8:O8"/>
    <mergeCell ref="H9:O9"/>
    <mergeCell ref="E10:G10"/>
    <mergeCell ref="M10:O10"/>
    <mergeCell ref="M7:O7"/>
    <mergeCell ref="N6:O6"/>
    <mergeCell ref="N5:O5"/>
    <mergeCell ref="N4:O4"/>
    <mergeCell ref="L2:M2"/>
    <mergeCell ref="L3:M3"/>
    <mergeCell ref="L4:M4"/>
    <mergeCell ref="L5:M5"/>
    <mergeCell ref="L6:M6"/>
    <mergeCell ref="N1:O1"/>
    <mergeCell ref="N2:O2"/>
    <mergeCell ref="N3:O3"/>
    <mergeCell ref="H7:J7"/>
    <mergeCell ref="E7:G7"/>
    <mergeCell ref="B8:D8"/>
    <mergeCell ref="C7:D7"/>
    <mergeCell ref="A7:B7"/>
    <mergeCell ref="A1:B3"/>
    <mergeCell ref="A4:C4"/>
    <mergeCell ref="A5:C5"/>
    <mergeCell ref="A6:B6"/>
    <mergeCell ref="C6:D6"/>
    <mergeCell ref="E6:G6"/>
    <mergeCell ref="D5:G5"/>
    <mergeCell ref="D4:G4"/>
    <mergeCell ref="C1:K1"/>
    <mergeCell ref="L1:M1"/>
    <mergeCell ref="C2:K3"/>
    <mergeCell ref="L66:L67"/>
    <mergeCell ref="M66:O67"/>
    <mergeCell ref="M68:O69"/>
    <mergeCell ref="M70:O71"/>
    <mergeCell ref="L68:L69"/>
    <mergeCell ref="L70:L71"/>
    <mergeCell ref="K68:K69"/>
    <mergeCell ref="K70:K71"/>
    <mergeCell ref="E70:G71"/>
    <mergeCell ref="E68:G69"/>
    <mergeCell ref="D70:D71"/>
    <mergeCell ref="C70:C71"/>
    <mergeCell ref="C66:D67"/>
    <mergeCell ref="C68:C69"/>
    <mergeCell ref="D68:D69"/>
    <mergeCell ref="K66:K67"/>
    <mergeCell ref="J66:J67"/>
    <mergeCell ref="H66:I67"/>
    <mergeCell ref="E66:G67"/>
    <mergeCell ref="H68:I71"/>
    <mergeCell ref="J68:J69"/>
    <mergeCell ref="J70:J71"/>
    <mergeCell ref="E64:G64"/>
    <mergeCell ref="H64:I64"/>
    <mergeCell ref="J64:K64"/>
    <mergeCell ref="H74:L75"/>
    <mergeCell ref="H72:L73"/>
    <mergeCell ref="I76:J76"/>
    <mergeCell ref="I78:J78"/>
    <mergeCell ref="I77:J77"/>
    <mergeCell ref="M72:O73"/>
    <mergeCell ref="N76:O78"/>
    <mergeCell ref="M74:O75"/>
    <mergeCell ref="L97:L98"/>
    <mergeCell ref="L95:L96"/>
    <mergeCell ref="L93:L94"/>
    <mergeCell ref="L89:L90"/>
    <mergeCell ref="M87:O88"/>
    <mergeCell ref="N89:O90"/>
    <mergeCell ref="N93:O94"/>
    <mergeCell ref="N91:O92"/>
    <mergeCell ref="M85:M86"/>
    <mergeCell ref="M89:M90"/>
    <mergeCell ref="M91:M92"/>
    <mergeCell ref="M93:M94"/>
    <mergeCell ref="N79:O80"/>
    <mergeCell ref="N81:O82"/>
    <mergeCell ref="N83:O84"/>
    <mergeCell ref="N85:O86"/>
    <mergeCell ref="F95:K96"/>
    <mergeCell ref="M95:M96"/>
    <mergeCell ref="N95:O96"/>
    <mergeCell ref="F93:K94"/>
    <mergeCell ref="F91:K92"/>
    <mergeCell ref="L91:L92"/>
    <mergeCell ref="J85:J86"/>
    <mergeCell ref="K85:L86"/>
    <mergeCell ref="H87:L88"/>
    <mergeCell ref="F89:K90"/>
    <mergeCell ref="N97:O98"/>
    <mergeCell ref="M97:M98"/>
    <mergeCell ref="F97:K98"/>
    <mergeCell ref="F99:K100"/>
    <mergeCell ref="F101:K102"/>
    <mergeCell ref="F103:K104"/>
    <mergeCell ref="F105:K106"/>
    <mergeCell ref="G107:I107"/>
    <mergeCell ref="J107:K107"/>
    <mergeCell ref="D107:F107"/>
    <mergeCell ref="C110:O110"/>
    <mergeCell ref="C111:O113"/>
    <mergeCell ref="C108:M109"/>
    <mergeCell ref="L99:O100"/>
    <mergeCell ref="L101:M101"/>
    <mergeCell ref="N101:O101"/>
    <mergeCell ref="L102:M102"/>
    <mergeCell ref="L103:M104"/>
    <mergeCell ref="L105:M106"/>
    <mergeCell ref="M107:O107"/>
    <mergeCell ref="N108:O109"/>
    <mergeCell ref="N105:O106"/>
    <mergeCell ref="N103:O104"/>
    <mergeCell ref="N102:O102"/>
    <mergeCell ref="D79:D80"/>
    <mergeCell ref="D81:D82"/>
    <mergeCell ref="D83:D84"/>
    <mergeCell ref="D89:E90"/>
    <mergeCell ref="D91:E98"/>
    <mergeCell ref="C89:C98"/>
    <mergeCell ref="C99:E100"/>
    <mergeCell ref="C101:E101"/>
    <mergeCell ref="C102:E102"/>
    <mergeCell ref="B107:C107"/>
    <mergeCell ref="C105:E106"/>
    <mergeCell ref="C103:E104"/>
    <mergeCell ref="B76:B78"/>
    <mergeCell ref="B66:B71"/>
    <mergeCell ref="B72:B73"/>
    <mergeCell ref="B74:B75"/>
    <mergeCell ref="A66:A71"/>
    <mergeCell ref="A72:A73"/>
    <mergeCell ref="A74:A75"/>
    <mergeCell ref="A76:A78"/>
    <mergeCell ref="A79:A86"/>
    <mergeCell ref="A87:A88"/>
    <mergeCell ref="A89:A98"/>
    <mergeCell ref="B89:B98"/>
    <mergeCell ref="B99:B100"/>
    <mergeCell ref="B101:B102"/>
    <mergeCell ref="A99:A100"/>
    <mergeCell ref="A103:A104"/>
    <mergeCell ref="A101:A102"/>
    <mergeCell ref="A105:A106"/>
    <mergeCell ref="A108:A109"/>
    <mergeCell ref="B103:B104"/>
    <mergeCell ref="B105:B106"/>
    <mergeCell ref="A111:B113"/>
    <mergeCell ref="A110:B110"/>
    <mergeCell ref="B108:B109"/>
    <mergeCell ref="H83:I84"/>
    <mergeCell ref="E85:G86"/>
    <mergeCell ref="E83:G84"/>
    <mergeCell ref="E81:G82"/>
    <mergeCell ref="H85:I86"/>
    <mergeCell ref="C87:G88"/>
    <mergeCell ref="D85:D86"/>
    <mergeCell ref="C85:C86"/>
    <mergeCell ref="C83:C84"/>
    <mergeCell ref="C81:C82"/>
    <mergeCell ref="C79:C80"/>
    <mergeCell ref="B87:B88"/>
    <mergeCell ref="B79:B80"/>
    <mergeCell ref="B81:B82"/>
    <mergeCell ref="B85:B86"/>
    <mergeCell ref="B83:B84"/>
    <mergeCell ref="E77:G77"/>
    <mergeCell ref="C76:D78"/>
    <mergeCell ref="E76:G76"/>
    <mergeCell ref="C72:G73"/>
    <mergeCell ref="C74:G75"/>
    <mergeCell ref="E78:G78"/>
    <mergeCell ref="E79:G80"/>
    <mergeCell ref="H79:I80"/>
    <mergeCell ref="M79:M80"/>
    <mergeCell ref="K79:L80"/>
    <mergeCell ref="J79:J80"/>
    <mergeCell ref="M83:M84"/>
    <mergeCell ref="J83:J84"/>
    <mergeCell ref="K83:L84"/>
    <mergeCell ref="J81:J82"/>
    <mergeCell ref="M81:M82"/>
    <mergeCell ref="H81:I82"/>
    <mergeCell ref="K81:L82"/>
    <mergeCell ref="H57:O57"/>
    <mergeCell ref="E57:G57"/>
    <mergeCell ref="E58:G59"/>
    <mergeCell ref="N58:O58"/>
    <mergeCell ref="L58:M58"/>
    <mergeCell ref="J58:K58"/>
    <mergeCell ref="H58:I58"/>
    <mergeCell ref="N59:O59"/>
    <mergeCell ref="L59:M59"/>
    <mergeCell ref="N60:O60"/>
    <mergeCell ref="L60:M60"/>
    <mergeCell ref="H61:I61"/>
    <mergeCell ref="N61:O61"/>
    <mergeCell ref="L61:M61"/>
    <mergeCell ref="J61:K61"/>
    <mergeCell ref="J60:K60"/>
    <mergeCell ref="J59:K59"/>
    <mergeCell ref="H59:I59"/>
    <mergeCell ref="H60:I60"/>
    <mergeCell ref="H62:I62"/>
    <mergeCell ref="E60:G62"/>
    <mergeCell ref="C57:D65"/>
    <mergeCell ref="A57:A65"/>
    <mergeCell ref="B57:B65"/>
    <mergeCell ref="E65:G65"/>
    <mergeCell ref="L65:M65"/>
    <mergeCell ref="J65:K65"/>
    <mergeCell ref="H65:I65"/>
    <mergeCell ref="N65:O65"/>
    <mergeCell ref="N64:O64"/>
    <mergeCell ref="L64:M64"/>
    <mergeCell ref="E63:G63"/>
    <mergeCell ref="H63:I63"/>
    <mergeCell ref="J63:K63"/>
    <mergeCell ref="L63:M63"/>
    <mergeCell ref="N63:O63"/>
    <mergeCell ref="N62:O62"/>
    <mergeCell ref="L62:M62"/>
    <mergeCell ref="J62:K62"/>
    <mergeCell ref="I47:K47"/>
    <mergeCell ref="I48:K48"/>
    <mergeCell ref="I49:K49"/>
    <mergeCell ref="I52:K52"/>
    <mergeCell ref="I51:K51"/>
    <mergeCell ref="I50:K50"/>
    <mergeCell ref="I53:K53"/>
    <mergeCell ref="I54:K54"/>
    <mergeCell ref="I55:K55"/>
    <mergeCell ref="L53:M53"/>
    <mergeCell ref="L54:M54"/>
    <mergeCell ref="L56:M56"/>
    <mergeCell ref="L55:M55"/>
    <mergeCell ref="I56:K56"/>
    <mergeCell ref="C50:D56"/>
    <mergeCell ref="B50:B56"/>
    <mergeCell ref="A50:A56"/>
    <mergeCell ref="E50:F56"/>
    <mergeCell ref="G42:H42"/>
    <mergeCell ref="G43:H43"/>
    <mergeCell ref="G44:H46"/>
    <mergeCell ref="G47:H47"/>
    <mergeCell ref="G51:H53"/>
    <mergeCell ref="G50:H50"/>
    <mergeCell ref="G49:H49"/>
    <mergeCell ref="G48:H48"/>
    <mergeCell ref="G56:H56"/>
    <mergeCell ref="G55:H55"/>
    <mergeCell ref="G54:H54"/>
    <mergeCell ref="E35:F35"/>
    <mergeCell ref="E33:G34"/>
    <mergeCell ref="E36:F42"/>
    <mergeCell ref="E43:F49"/>
    <mergeCell ref="A33:A49"/>
    <mergeCell ref="B33:B49"/>
    <mergeCell ref="C33:D49"/>
    <mergeCell ref="I43:K43"/>
    <mergeCell ref="I42:K42"/>
    <mergeCell ref="I41:K41"/>
    <mergeCell ref="L43:M43"/>
    <mergeCell ref="L42:M42"/>
    <mergeCell ref="L41:M41"/>
    <mergeCell ref="N43:O43"/>
    <mergeCell ref="N42:O42"/>
    <mergeCell ref="N41:O41"/>
    <mergeCell ref="I46:K46"/>
    <mergeCell ref="I45:K45"/>
    <mergeCell ref="I44:K44"/>
    <mergeCell ref="L46:M46"/>
    <mergeCell ref="L45:M45"/>
    <mergeCell ref="L44:M44"/>
    <mergeCell ref="N46:O46"/>
    <mergeCell ref="N45:O45"/>
    <mergeCell ref="N44:O44"/>
    <mergeCell ref="L47:M47"/>
    <mergeCell ref="L48:M48"/>
    <mergeCell ref="L49:M49"/>
    <mergeCell ref="L52:M52"/>
    <mergeCell ref="L51:M51"/>
    <mergeCell ref="L50:M50"/>
    <mergeCell ref="N47:O47"/>
    <mergeCell ref="N48:O48"/>
    <mergeCell ref="N49:O49"/>
    <mergeCell ref="N50:O50"/>
    <mergeCell ref="N51:O51"/>
    <mergeCell ref="N52:O52"/>
    <mergeCell ref="N53:O53"/>
    <mergeCell ref="N56:O56"/>
    <mergeCell ref="N55:O55"/>
    <mergeCell ref="N54:O54"/>
    <mergeCell ref="L36:M36"/>
    <mergeCell ref="L37:M37"/>
    <mergeCell ref="L40:M40"/>
    <mergeCell ref="L39:M39"/>
    <mergeCell ref="L38:M38"/>
    <mergeCell ref="G36:H36"/>
    <mergeCell ref="G35:H35"/>
    <mergeCell ref="G41:H41"/>
    <mergeCell ref="G40:H40"/>
    <mergeCell ref="G37:H39"/>
    <mergeCell ref="I36:K36"/>
    <mergeCell ref="I37:K37"/>
    <mergeCell ref="I38:K38"/>
    <mergeCell ref="I39:K39"/>
    <mergeCell ref="I40:K40"/>
    <mergeCell ref="N40:O40"/>
    <mergeCell ref="N39:O39"/>
    <mergeCell ref="N38:O38"/>
    <mergeCell ref="N35:O35"/>
    <mergeCell ref="N36:O36"/>
    <mergeCell ref="N37:O37"/>
    <mergeCell ref="H29:I30"/>
    <mergeCell ref="H31:I32"/>
    <mergeCell ref="L31:L32"/>
    <mergeCell ref="K31:K32"/>
    <mergeCell ref="K29:K30"/>
    <mergeCell ref="I35:K35"/>
    <mergeCell ref="H33:O34"/>
    <mergeCell ref="L35:M35"/>
    <mergeCell ref="N27:O28"/>
    <mergeCell ref="N31:O32"/>
    <mergeCell ref="N29:O30"/>
    <mergeCell ref="M29:M30"/>
    <mergeCell ref="M31:M32"/>
    <mergeCell ref="K27:K28"/>
    <mergeCell ref="M27:M28"/>
    <mergeCell ref="L27:L28"/>
    <mergeCell ref="L29:L30"/>
    <mergeCell ref="H27:I28"/>
    <mergeCell ref="J27:J28"/>
    <mergeCell ref="J29:J30"/>
    <mergeCell ref="J31:J32"/>
    <mergeCell ref="E29:G30"/>
    <mergeCell ref="E31:G32"/>
    <mergeCell ref="E27:G28"/>
  </mergeCells>
  <printOptions horizontalCentered="1" vertic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>
      <pane topLeftCell="A1"/>
      <selection activeCellId="0" activeCell="N40" sqref="N40"/>
    </sheetView>
  </sheetViews>
  <sheetFormatPr defaultColWidth="8.88" defaultRowHeight="13.5" customHeight="1"/>
  <cols>
    <col min="1" max="1" width="18.38" customWidth="1" style="102"/>
    <col min="2" max="2" width="19.38" customWidth="1" style="102"/>
    <col min="3" max="3" width="21.5" customWidth="1" style="102"/>
    <col min="4" max="4" width="7.88" customWidth="1" style="102"/>
    <col min="5" max="7" width="14.13" customWidth="1" style="102"/>
    <col min="8" max="12" width="11" customWidth="1" style="102"/>
    <col min="13" max="13" width="16.38" customWidth="1" style="102"/>
    <col min="14" max="14" width="11" customWidth="1" style="102"/>
    <col min="15" max="15" width="20.13" customWidth="1" style="102"/>
    <col min="16" max="16" width="16.38" customWidth="1" style="139"/>
    <col min="17" max="16384" width="8.88" style="102"/>
  </cols>
  <sheetData>
    <row r="1" ht="32.25" customHeight="1" customFormat="1" s="85">
      <c r="A1" s="211" t="s">
        <v>123</v>
      </c>
      <c s="211" t="s">
        <v>124</v>
      </c>
      <c s="211" t="s">
        <v>125</v>
      </c>
      <c s="211"/>
      <c s="301" t="s">
        <v>126</v>
      </c>
      <c s="301" t="s">
        <v>127</v>
      </c>
      <c s="301" t="s">
        <v>127</v>
      </c>
      <c s="301" t="s">
        <v>128</v>
      </c>
      <c s="301" t="s">
        <v>129</v>
      </c>
      <c s="301" t="s">
        <v>129</v>
      </c>
      <c s="301" t="s">
        <v>130</v>
      </c>
      <c s="301" t="s">
        <v>130</v>
      </c>
      <c s="301" t="s">
        <v>131</v>
      </c>
      <c s="301" t="s">
        <v>132</v>
      </c>
      <c s="301" t="s">
        <v>133</v>
      </c>
      <c s="193" t="s">
        <v>134</v>
      </c>
      <c s="301" t="s">
        <v>135</v>
      </c>
      <c s="301" t="s">
        <v>136</v>
      </c>
    </row>
    <row r="2" customHeight="1">
      <c r="A2" s="171" t="s">
        <v>25</v>
      </c>
      <c s="310">
        <v>656.1</v>
      </c>
      <c s="310">
        <v>656.1</v>
      </c>
      <c s="171"/>
      <c s="171" t="s">
        <v>137</v>
      </c>
      <c s="171" t="s">
        <v>138</v>
      </c>
      <c s="310">
        <v>0</v>
      </c>
      <c s="171"/>
      <c s="171" t="s">
        <v>139</v>
      </c>
      <c s="310">
        <v>0</v>
      </c>
      <c s="171" t="s">
        <v>140</v>
      </c>
      <c s="310">
        <v>0</v>
      </c>
      <c s="171"/>
      <c s="310">
        <v>1</v>
      </c>
      <c r="P2" s="295">
        <v>0.2</v>
      </c>
      <c s="295"/>
      <c s="171"/>
    </row>
    <row r="3" customHeight="1">
      <c r="A3" s="171" t="s">
        <v>141</v>
      </c>
      <c s="310">
        <v>253.7</v>
      </c>
      <c s="310">
        <v>253.7</v>
      </c>
      <c s="171"/>
      <c s="171" t="s">
        <v>142</v>
      </c>
      <c s="171" t="s">
        <v>25</v>
      </c>
      <c s="310">
        <v>1</v>
      </c>
      <c s="171" t="s">
        <v>143</v>
      </c>
      <c s="171" t="s">
        <v>144</v>
      </c>
      <c s="310">
        <v>1</v>
      </c>
      <c s="171" t="s">
        <v>145</v>
      </c>
      <c s="310">
        <v>1</v>
      </c>
      <c s="328">
        <v>0.02</v>
      </c>
      <c s="310">
        <v>2</v>
      </c>
      <c s="310">
        <v>1</v>
      </c>
      <c s="295">
        <v>0.5</v>
      </c>
      <c s="310">
        <v>1</v>
      </c>
      <c s="310">
        <v>0.5</v>
      </c>
    </row>
    <row r="4" customHeight="1">
      <c r="A4" s="171" t="s">
        <v>146</v>
      </c>
      <c s="171" t="s">
        <v>147</v>
      </c>
      <c s="171" t="s">
        <v>147</v>
      </c>
      <c s="171"/>
      <c s="171"/>
      <c s="171" t="s">
        <v>148</v>
      </c>
      <c s="310">
        <v>2</v>
      </c>
      <c s="171"/>
      <c s="171" t="s">
        <v>149</v>
      </c>
      <c s="310">
        <v>2</v>
      </c>
      <c s="171" t="s">
        <v>150</v>
      </c>
      <c s="310">
        <v>2</v>
      </c>
      <c s="310">
        <v>0.1</v>
      </c>
      <c s="310">
        <v>3</v>
      </c>
      <c s="310">
        <v>2</v>
      </c>
      <c s="295" t="s">
        <v>151</v>
      </c>
      <c s="310">
        <v>2</v>
      </c>
      <c s="310">
        <v>1</v>
      </c>
    </row>
    <row r="5" customHeight="1">
      <c r="A5" s="171" t="s">
        <v>24</v>
      </c>
      <c s="171" t="s">
        <v>152</v>
      </c>
      <c s="171" t="s">
        <v>152</v>
      </c>
      <c s="171"/>
      <c s="171"/>
      <c s="171"/>
      <c s="171"/>
      <c s="171"/>
      <c s="171" t="s">
        <v>153</v>
      </c>
      <c s="310">
        <v>3</v>
      </c>
      <c s="171" t="s">
        <v>154</v>
      </c>
      <c s="310">
        <v>3</v>
      </c>
      <c s="310">
        <v>0.2</v>
      </c>
      <c s="310">
        <v>4</v>
      </c>
      <c s="171"/>
      <c s="295" t="s">
        <v>155</v>
      </c>
      <c s="310">
        <v>3</v>
      </c>
      <c s="310">
        <v>2</v>
      </c>
    </row>
    <row r="6" customHeight="1">
      <c r="A6" s="171" t="s">
        <v>40</v>
      </c>
      <c s="171" t="s">
        <v>156</v>
      </c>
      <c s="171"/>
      <c s="171"/>
      <c s="171"/>
      <c s="171"/>
      <c s="171"/>
      <c s="171"/>
      <c s="171" t="s">
        <v>157</v>
      </c>
      <c s="310">
        <v>4</v>
      </c>
      <c s="171" t="s">
        <v>158</v>
      </c>
      <c s="310">
        <v>4</v>
      </c>
      <c s="310">
        <v>0.5</v>
      </c>
      <c s="310">
        <v>5</v>
      </c>
      <c s="171"/>
      <c s="295" t="s">
        <v>159</v>
      </c>
      <c s="310">
        <v>4</v>
      </c>
      <c s="171"/>
    </row>
    <row r="7" customHeight="1">
      <c r="A7" s="171" t="s">
        <v>46</v>
      </c>
      <c s="171" t="s">
        <v>160</v>
      </c>
      <c s="171"/>
      <c s="171"/>
      <c s="171"/>
      <c s="171"/>
      <c s="171"/>
      <c s="171"/>
      <c s="171"/>
      <c s="171"/>
      <c s="171" t="s">
        <v>161</v>
      </c>
      <c s="171"/>
      <c s="310">
        <v>1</v>
      </c>
      <c s="171"/>
      <c s="171"/>
      <c s="295"/>
      <c s="310">
        <v>5</v>
      </c>
      <c s="171"/>
    </row>
    <row r="8" customHeight="1">
      <c r="A8" s="171" t="s">
        <v>48</v>
      </c>
      <c s="171" t="s">
        <v>162</v>
      </c>
      <c s="171"/>
      <c s="171"/>
      <c s="171"/>
      <c s="171"/>
      <c s="171"/>
      <c s="171"/>
      <c s="171"/>
      <c s="171"/>
      <c s="171"/>
      <c s="171"/>
      <c s="310">
        <v>2</v>
      </c>
      <c s="171"/>
      <c s="171"/>
      <c s="295"/>
      <c s="171"/>
      <c s="171"/>
    </row>
    <row r="9" customHeight="1">
      <c r="A9" s="311" t="s">
        <v>163</v>
      </c>
      <c s="452">
        <v>350313257235</v>
      </c>
      <c s="171" t="s">
        <v>164</v>
      </c>
      <c s="452"/>
      <c s="171"/>
      <c s="171"/>
      <c s="171"/>
      <c s="171"/>
      <c s="171"/>
      <c s="171"/>
      <c s="171"/>
      <c s="171"/>
      <c s="310">
        <v>5</v>
      </c>
      <c s="171"/>
      <c s="171"/>
      <c s="295"/>
      <c s="171"/>
      <c s="171"/>
    </row>
    <row r="10" customHeight="1">
      <c r="A10" s="171" t="s">
        <v>165</v>
      </c>
      <c s="310">
        <v>220</v>
      </c>
      <c s="171"/>
      <c s="171"/>
      <c s="171"/>
      <c s="171"/>
      <c s="171"/>
      <c s="171"/>
      <c s="171"/>
      <c s="171"/>
      <c s="171"/>
      <c s="171"/>
      <c s="171"/>
      <c s="171"/>
      <c s="171"/>
      <c s="295"/>
      <c s="171"/>
      <c s="171"/>
    </row>
    <row r="11" customHeight="1">
      <c r="A11" s="171" t="s">
        <v>166</v>
      </c>
      <c s="452">
        <v>340360</v>
      </c>
      <c s="171"/>
      <c s="171"/>
      <c s="171"/>
      <c s="171"/>
      <c s="171"/>
      <c s="171"/>
      <c s="171"/>
      <c s="171"/>
      <c s="171"/>
      <c s="171"/>
      <c s="171"/>
      <c s="171"/>
      <c s="171"/>
      <c s="295"/>
      <c s="171"/>
      <c s="171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42"/>
  <sheetViews>
    <sheetView workbookViewId="0" zoomScale="85" showGridLines="0" zoomScaleNormal="85">
      <pane topLeftCell="A2" activePane="bottomLeft" state="frozen" ySplit="1"/>
      <selection activeCellId="0" pane="bottomLeft" activeCell="L50" sqref="L50"/>
    </sheetView>
  </sheetViews>
  <sheetFormatPr defaultColWidth="9" defaultRowHeight="13.5" customHeight="1"/>
  <cols>
    <col min="1" max="1" width="10" customWidth="1" style="10"/>
    <col min="2" max="2" width="10.25" customWidth="1" style="10"/>
    <col min="3" max="3" width="7.88" customWidth="1" style="10"/>
    <col min="4" max="4" width="15.38" customWidth="1" style="114"/>
    <col min="5" max="8" width="9" style="38"/>
    <col min="9" max="9" width="17.25" customWidth="1" style="38"/>
    <col min="10" max="10" width="9" style="38"/>
    <col min="11" max="11" width="10" customWidth="1" style="38"/>
    <col min="12" max="13" width="9" style="38"/>
    <col min="14" max="14" width="10" customWidth="1" style="10"/>
    <col min="15" max="15" width="5.75" customWidth="1" style="38"/>
    <col min="16" max="16" width="36.63" customWidth="1" style="38"/>
    <col min="17" max="17" width="11.63" customWidth="1" style="38"/>
    <col min="18" max="16384" width="9" style="38"/>
  </cols>
  <sheetData>
    <row r="1" customHeight="1">
      <c r="A1" s="294" t="s">
        <v>167</v>
      </c>
      <c s="294" t="s">
        <v>168</v>
      </c>
      <c s="294" t="s">
        <v>125</v>
      </c>
      <c s="319" t="s">
        <v>34</v>
      </c>
      <c s="319" t="s">
        <v>169</v>
      </c>
      <c s="319" t="s">
        <v>170</v>
      </c>
      <c s="319" t="s">
        <v>171</v>
      </c>
      <c s="220" t="s">
        <v>7</v>
      </c>
      <c s="371" t="s">
        <v>8</v>
      </c>
      <c s="220" t="s">
        <v>9</v>
      </c>
      <c s="220" t="s">
        <v>172</v>
      </c>
      <c s="220" t="s">
        <v>173</v>
      </c>
      <c s="220" t="s">
        <v>174</v>
      </c>
      <c s="294" t="s">
        <v>175</v>
      </c>
      <c s="319" t="s">
        <v>176</v>
      </c>
      <c s="319" t="s">
        <v>177</v>
      </c>
      <c s="332"/>
    </row>
    <row r="2" customHeight="1">
      <c r="A2" s="213">
        <v>1001</v>
      </c>
      <c s="214" t="str">
        <f ca="1" ref="B2:B41" t="shared" si="0">MID(_xlfn.SINGLE(CELL("filename")),FIND("[",_xlfn.SINGLE(CELL("filename")),1)+1,FIND(".",_xlfn.SINGLE(CELL("filename")),1)-FIND("[",_xlfn.SINGLE(CELL("filename")),1)-1)</f>
        <v>34U1704-01-0023</v>
      </c>
      <c s="143"/>
      <c s="146" t="str">
        <f>'波长示值误差与重复性校验'!$C2&amp;";"&amp;'波长示值误差与重复性校验'!$D2&amp;";"&amp;'波长示值误差与重复性校验'!$E2</f>
        <v>;;</v>
      </c>
      <c s="146" t="str">
        <f>'波长示值误差与重复性校验'!$F2</f>
        <v/>
      </c>
      <c s="146" t="str">
        <f>'波长示值误差与重复性校验'!$G2</f>
        <v/>
      </c>
      <c s="373">
        <f>'波长示值误差与重复性校验'!$H2</f>
        <v>0</v>
      </c>
      <c s="146">
        <f>Report!$F$5</f>
      </c>
      <c s="190">
        <f ca="1" ref="I2:I41" t="shared" si="1">NOW()</f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'波长示值误差与重复性校验'!$K2</f>
        <v>未检测</v>
      </c>
      <c s="146"/>
      <c s="310">
        <v>1001</v>
      </c>
    </row>
    <row r="3" customHeight="1">
      <c r="A3" s="219">
        <v>1002</v>
      </c>
      <c s="214" t="str">
        <f ca="1" t="shared" si="0"/>
        <v>34U1704-01-0023</v>
      </c>
      <c s="143"/>
      <c s="146" t="str">
        <f>'波长示值误差与重复性校验'!$C3&amp;";"&amp;'波长示值误差与重复性校验'!$D3&amp;";"&amp;'波长示值误差与重复性校验'!$E3</f>
        <v>;;</v>
      </c>
      <c s="146" t="str">
        <f>'波长示值误差与重复性校验'!$F3</f>
        <v/>
      </c>
      <c s="146" t="str">
        <f>'波长示值误差与重复性校验'!$G3</f>
        <v/>
      </c>
      <c s="373">
        <f>'波长示值误差与重复性校验'!$H3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'波长示值误差与重复性校验'!$K3</f>
        <v>未检测</v>
      </c>
      <c s="146"/>
      <c s="310">
        <v>1002</v>
      </c>
    </row>
    <row r="4" customHeight="1">
      <c r="A4" s="219">
        <v>1003</v>
      </c>
      <c s="214" t="str">
        <f ca="1" t="shared" si="0"/>
        <v>34U1704-01-0023</v>
      </c>
      <c s="143"/>
      <c s="146" t="str">
        <f>'波长示值误差与重复性校验'!$C4&amp;";"&amp;'波长示值误差与重复性校验'!$D4&amp;";"&amp;'波长示值误差与重复性校验'!$E4</f>
        <v>;;</v>
      </c>
      <c s="146" t="str">
        <f>'波长示值误差与重复性校验'!$F4</f>
        <v/>
      </c>
      <c s="146" t="str">
        <f>'波长示值误差与重复性校验'!$G4</f>
        <v/>
      </c>
      <c s="373">
        <f>'波长示值误差与重复性校验'!$H4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'波长示值误差与重复性校验'!$K4</f>
        <v>未检测</v>
      </c>
      <c s="146"/>
      <c s="310">
        <v>1003</v>
      </c>
    </row>
    <row r="5" customHeight="1">
      <c r="A5" s="219">
        <v>1008</v>
      </c>
      <c s="214" t="str">
        <f ca="1" t="shared" si="0"/>
        <v>34U1704-01-0023</v>
      </c>
      <c s="143"/>
      <c s="146" t="str">
        <f>'波长示值误差与重复性校验'!$C5&amp;";"&amp;'波长示值误差与重复性校验'!$D5&amp;";"&amp;'波长示值误差与重复性校验'!$E5</f>
        <v>;;</v>
      </c>
      <c s="146" t="str">
        <f>'波长示值误差与重复性校验'!$F5</f>
        <v/>
      </c>
      <c s="146" t="str">
        <f>'波长示值误差与重复性校验'!$G5</f>
        <v/>
      </c>
      <c s="373">
        <f>'波长示值误差与重复性校验'!$H5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'波长示值误差与重复性校验'!$K5</f>
        <v>未检测</v>
      </c>
      <c s="146"/>
      <c s="310">
        <v>1004</v>
      </c>
    </row>
    <row r="6" customHeight="1">
      <c r="A6" s="219">
        <v>1009</v>
      </c>
      <c s="214" t="str">
        <f ca="1" t="shared" si="0"/>
        <v>34U1704-01-0023</v>
      </c>
      <c s="143"/>
      <c s="146" t="str">
        <f>'波长示值误差与重复性校验'!$C6&amp;";"&amp;'波长示值误差与重复性校验'!$D6&amp;";"&amp;'波长示值误差与重复性校验'!$E6</f>
        <v>;;</v>
      </c>
      <c s="146" t="str">
        <f>'波长示值误差与重复性校验'!$F6</f>
        <v/>
      </c>
      <c s="146" t="str">
        <f>'波长示值误差与重复性校验'!$G6</f>
        <v/>
      </c>
      <c s="373">
        <f>'波长示值误差与重复性校验'!$H6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'波长示值误差与重复性校验'!$K6</f>
        <v>未检测</v>
      </c>
      <c s="146"/>
      <c s="310">
        <v>1004</v>
      </c>
    </row>
    <row r="7" customHeight="1">
      <c r="A7" s="219">
        <v>1010</v>
      </c>
      <c s="214" t="str">
        <f ca="1" t="shared" si="0"/>
        <v>34U1704-01-0023</v>
      </c>
      <c s="143"/>
      <c s="146" t="str">
        <f>'波长示值误差与重复性校验'!$C7&amp;";"&amp;'波长示值误差与重复性校验'!$D7&amp;";"&amp;'波长示值误差与重复性校验'!$E7</f>
        <v>;;</v>
      </c>
      <c s="146" t="str">
        <f>'波长示值误差与重复性校验'!$F7</f>
        <v/>
      </c>
      <c s="146" t="str">
        <f>'波长示值误差与重复性校验'!$G7</f>
        <v/>
      </c>
      <c s="373">
        <f>'波长示值误差与重复性校验'!$H7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'波长示值误差与重复性校验'!$K7</f>
        <v>未检测</v>
      </c>
      <c s="146"/>
      <c s="310">
        <v>1004</v>
      </c>
    </row>
    <row r="8" customHeight="1">
      <c r="A8" s="219">
        <v>1011</v>
      </c>
      <c s="214" t="str">
        <f ca="1" t="shared" si="0"/>
        <v>34U1704-01-0023</v>
      </c>
      <c s="143"/>
      <c s="146" t="str">
        <f>'波长示值误差与重复性校验'!$C8&amp;";"&amp;'波长示值误差与重复性校验'!$D8&amp;";"&amp;'波长示值误差与重复性校验'!$E8</f>
        <v>;;</v>
      </c>
      <c s="146" t="str">
        <f>'波长示值误差与重复性校验'!$F8</f>
        <v/>
      </c>
      <c s="146" t="str">
        <f>'波长示值误差与重复性校验'!$G8</f>
        <v/>
      </c>
      <c s="373">
        <f>'波长示值误差与重复性校验'!$H8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'波长示值误差与重复性校验'!$K8</f>
        <v>未检测</v>
      </c>
      <c s="146"/>
      <c s="310">
        <v>1004</v>
      </c>
    </row>
    <row r="9" customHeight="1">
      <c r="A9" s="219">
        <v>1012</v>
      </c>
      <c s="214" t="str">
        <f ca="1" t="shared" si="0"/>
        <v>34U1704-01-0023</v>
      </c>
      <c s="143"/>
      <c s="146" t="str">
        <f>'波长示值误差与重复性校验'!$C9&amp;";"&amp;'波长示值误差与重复性校验'!$D9&amp;";"&amp;'波长示值误差与重复性校验'!$E9</f>
        <v>;;</v>
      </c>
      <c s="146" t="str">
        <f>'波长示值误差与重复性校验'!$F9</f>
        <v/>
      </c>
      <c s="146" t="str">
        <f>'波长示值误差与重复性校验'!$G9</f>
        <v/>
      </c>
      <c s="373">
        <f>'波长示值误差与重复性校验'!$H9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'波长示值误差与重复性校验'!$K9</f>
        <v>未检测</v>
      </c>
      <c s="146"/>
      <c s="310">
        <v>1004</v>
      </c>
    </row>
    <row r="10" customHeight="1">
      <c r="A10" s="219">
        <v>1013</v>
      </c>
      <c s="214" t="str">
        <f ca="1" t="shared" si="0"/>
        <v>34U1704-01-0023</v>
      </c>
      <c s="143"/>
      <c s="146" t="str">
        <f>'波长示值误差与重复性校验'!$C10&amp;";"&amp;'波长示值误差与重复性校验'!$D10&amp;";"&amp;'波长示值误差与重复性校验'!$E10</f>
        <v>;;</v>
      </c>
      <c s="146" t="str">
        <f>'波长示值误差与重复性校验'!$F10</f>
        <v/>
      </c>
      <c s="146" t="str">
        <f>'波长示值误差与重复性校验'!$G10</f>
        <v/>
      </c>
      <c s="373">
        <f>'波长示值误差与重复性校验'!$H10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'波长示值误差与重复性校验'!$K10</f>
        <v>未检测</v>
      </c>
      <c s="146"/>
      <c s="310">
        <v>1004</v>
      </c>
    </row>
    <row r="11" customHeight="1">
      <c r="A11" s="219">
        <v>2001</v>
      </c>
      <c s="214" t="str">
        <f ca="1" t="shared" si="0"/>
        <v>34U1704-01-0023</v>
      </c>
      <c s="219">
        <f>'透射比示值误差与重复性校验'!$C2</f>
        <v>23.2</v>
      </c>
      <c s="146" t="str">
        <f>'透射比示值误差与重复性校验'!$D2&amp;";"&amp;'透射比示值误差与重复性校验'!$E2&amp;";"&amp;'透射比示值误差与重复性校验'!$F2</f>
        <v>;;</v>
      </c>
      <c s="146" t="str">
        <f>'透射比示值误差与重复性校验'!$G2</f>
        <v/>
      </c>
      <c s="146" t="str">
        <f>'透射比示值误差与重复性校验'!$H2</f>
        <v/>
      </c>
      <c s="373">
        <f>'透射比示值误差与重复性校验'!$I2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'透射比示值误差与重复性校验'!$L2</f>
        <v>未检测</v>
      </c>
      <c s="146"/>
      <c s="219">
        <v>2001</v>
      </c>
    </row>
    <row r="12" customHeight="1">
      <c r="A12" s="219">
        <v>2002</v>
      </c>
      <c s="214" t="str">
        <f ca="1" t="shared" si="0"/>
        <v>34U1704-01-0023</v>
      </c>
      <c s="219">
        <f>'透射比示值误差与重复性校验'!$C3</f>
        <v>51.58</v>
      </c>
      <c s="146" t="str">
        <f>'透射比示值误差与重复性校验'!$D3&amp;";"&amp;'透射比示值误差与重复性校验'!$E3&amp;";"&amp;'透射比示值误差与重复性校验'!$F3</f>
        <v>;;</v>
      </c>
      <c s="146" t="str">
        <f>'透射比示值误差与重复性校验'!$G3</f>
        <v/>
      </c>
      <c s="146" t="str">
        <f>'透射比示值误差与重复性校验'!$H3</f>
        <v/>
      </c>
      <c s="373">
        <f>'透射比示值误差与重复性校验'!$I3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'透射比示值误差与重复性校验'!$L3</f>
        <v>未检测</v>
      </c>
      <c s="146"/>
      <c s="219">
        <v>2001</v>
      </c>
    </row>
    <row r="13" customHeight="1">
      <c r="A13" s="219">
        <v>2003</v>
      </c>
      <c s="214" t="str">
        <f ca="1" t="shared" si="0"/>
        <v>34U1704-01-0023</v>
      </c>
      <c s="219">
        <f>'透射比示值误差与重复性校验'!$C4</f>
        <v>14.06</v>
      </c>
      <c s="146" t="str">
        <f>'透射比示值误差与重复性校验'!$D4&amp;";"&amp;'透射比示值误差与重复性校验'!$E4&amp;";"&amp;'透射比示值误差与重复性校验'!$F4</f>
        <v>;;</v>
      </c>
      <c s="146" t="str">
        <f>'透射比示值误差与重复性校验'!$G4</f>
        <v/>
      </c>
      <c s="146" t="str">
        <f>'透射比示值误差与重复性校验'!$H4</f>
        <v/>
      </c>
      <c s="373">
        <f>'透射比示值误差与重复性校验'!$I4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'透射比示值误差与重复性校验'!$L4</f>
        <v>未检测</v>
      </c>
      <c s="146"/>
      <c s="219">
        <v>2001</v>
      </c>
    </row>
    <row r="14" customHeight="1">
      <c r="A14" s="219">
        <v>2004</v>
      </c>
      <c s="214" t="str">
        <f ca="1" t="shared" si="0"/>
        <v>34U1704-01-0023</v>
      </c>
      <c s="219">
        <f>'透射比示值误差与重复性校验'!$C5</f>
        <v>18.42</v>
      </c>
      <c s="146" t="str">
        <f>'透射比示值误差与重复性校验'!$D5&amp;";"&amp;'透射比示值误差与重复性校验'!$E5&amp;";"&amp;'透射比示值误差与重复性校验'!$F5</f>
        <v>;;</v>
      </c>
      <c s="146" t="str">
        <f>'透射比示值误差与重复性校验'!$G5</f>
        <v/>
      </c>
      <c s="146" t="str">
        <f>'透射比示值误差与重复性校验'!$H5</f>
        <v/>
      </c>
      <c s="373">
        <f>'透射比示值误差与重复性校验'!$I5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'透射比示值误差与重复性校验'!$L5</f>
        <v>未检测</v>
      </c>
      <c s="146"/>
      <c s="219">
        <v>2001</v>
      </c>
    </row>
    <row r="15" customHeight="1">
      <c r="A15" s="219">
        <v>2005</v>
      </c>
      <c s="214" t="str">
        <f ca="1" t="shared" si="0"/>
        <v>34U1704-01-0023</v>
      </c>
      <c s="219">
        <f>'透射比示值误差与重复性校验'!$C6</f>
        <v>7.62</v>
      </c>
      <c s="146" t="str">
        <f>'透射比示值误差与重复性校验'!$D6&amp;";"&amp;'透射比示值误差与重复性校验'!$E6&amp;";"&amp;'透射比示值误差与重复性校验'!$F6</f>
        <v>;;</v>
      </c>
      <c s="146" t="str">
        <f>'透射比示值误差与重复性校验'!$G6</f>
        <v/>
      </c>
      <c s="146" t="str">
        <f>'透射比示值误差与重复性校验'!$H6</f>
        <v/>
      </c>
      <c s="373">
        <f>'透射比示值误差与重复性校验'!$I6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'透射比示值误差与重复性校验'!$L6</f>
        <v>未检测</v>
      </c>
      <c s="146"/>
      <c s="219">
        <v>2002</v>
      </c>
    </row>
    <row r="16" customHeight="1">
      <c r="A16" s="219">
        <v>2006</v>
      </c>
      <c s="214" t="str">
        <f ca="1" t="shared" si="0"/>
        <v>34U1704-01-0023</v>
      </c>
      <c s="219">
        <f>'透射比示值误差与重复性校验'!$C7</f>
        <v>11.03</v>
      </c>
      <c s="146" t="str">
        <f>'透射比示值误差与重复性校验'!$D7&amp;";"&amp;'透射比示值误差与重复性校验'!$E7&amp;";"&amp;'透射比示值误差与重复性校验'!$F7</f>
        <v>;;</v>
      </c>
      <c s="146" t="str">
        <f>'透射比示值误差与重复性校验'!$G7</f>
        <v/>
      </c>
      <c s="146" t="str">
        <f>'透射比示值误差与重复性校验'!$H7</f>
        <v/>
      </c>
      <c s="373">
        <f>'透射比示值误差与重复性校验'!$I7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'透射比示值误差与重复性校验'!$L7</f>
        <v>未检测</v>
      </c>
      <c s="146"/>
      <c s="219">
        <v>2002</v>
      </c>
    </row>
    <row r="17" customHeight="1">
      <c r="A17" s="219">
        <v>2007</v>
      </c>
      <c s="214" t="str">
        <f ca="1" t="shared" si="0"/>
        <v>34U1704-01-0023</v>
      </c>
      <c s="219">
        <f>'透射比示值误差与重复性校验'!$C8</f>
        <v>11.46</v>
      </c>
      <c s="146" t="str">
        <f>'透射比示值误差与重复性校验'!$D8&amp;";"&amp;'透射比示值误差与重复性校验'!$E8&amp;";"&amp;'透射比示值误差与重复性校验'!$F8</f>
        <v>;;</v>
      </c>
      <c s="146" t="str">
        <f>'透射比示值误差与重复性校验'!$G8</f>
        <v/>
      </c>
      <c s="146" t="str">
        <f>'透射比示值误差与重复性校验'!$H8</f>
        <v/>
      </c>
      <c s="373">
        <f>'透射比示值误差与重复性校验'!$I8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'透射比示值误差与重复性校验'!$L8</f>
        <v>未检测</v>
      </c>
      <c s="146"/>
      <c s="219">
        <v>2002</v>
      </c>
    </row>
    <row r="18" customHeight="1">
      <c r="A18" s="219">
        <v>2008</v>
      </c>
      <c s="214" t="str">
        <f ca="1" t="shared" si="0"/>
        <v>34U1704-01-0023</v>
      </c>
      <c s="219">
        <f>'透射比示值误差与重复性校验'!$C9</f>
        <v>17.64</v>
      </c>
      <c s="146" t="str">
        <f>'透射比示值误差与重复性校验'!$D9&amp;";"&amp;'透射比示值误差与重复性校验'!$E9&amp;";"&amp;'透射比示值误差与重复性校验'!$F9</f>
        <v>;;</v>
      </c>
      <c s="146" t="str">
        <f>'透射比示值误差与重复性校验'!$G9</f>
        <v/>
      </c>
      <c s="146" t="str">
        <f>'透射比示值误差与重复性校验'!$H9</f>
        <v/>
      </c>
      <c s="373">
        <f>'透射比示值误差与重复性校验'!$I9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'透射比示值误差与重复性校验'!$L9</f>
        <v>未检测</v>
      </c>
      <c s="146"/>
      <c s="219">
        <v>2003</v>
      </c>
    </row>
    <row r="19" customHeight="1">
      <c r="A19" s="219">
        <v>2009</v>
      </c>
      <c s="214" t="str">
        <f ca="1" t="shared" si="0"/>
        <v>34U1704-01-0023</v>
      </c>
      <c s="219">
        <f>'透射比示值误差与重复性校验'!$C10</f>
        <v>21.74</v>
      </c>
      <c s="146" t="str">
        <f>'透射比示值误差与重复性校验'!$D10&amp;";"&amp;'透射比示值误差与重复性校验'!$E10&amp;";"&amp;'透射比示值误差与重复性校验'!$F10</f>
        <v>;;</v>
      </c>
      <c s="146" t="str">
        <f>'透射比示值误差与重复性校验'!$G10</f>
        <v/>
      </c>
      <c s="146" t="str">
        <f>'透射比示值误差与重复性校验'!$H10</f>
        <v/>
      </c>
      <c s="373">
        <f>'透射比示值误差与重复性校验'!$I10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'透射比示值误差与重复性校验'!$L10</f>
        <v>未检测</v>
      </c>
      <c s="146"/>
      <c s="219">
        <v>2003</v>
      </c>
    </row>
    <row r="20" customHeight="1">
      <c r="A20" s="219">
        <v>2010</v>
      </c>
      <c s="214" t="str">
        <f ca="1" t="shared" si="0"/>
        <v>34U1704-01-0023</v>
      </c>
      <c s="219">
        <f>'透射比示值误差与重复性校验'!$C11</f>
        <v>21.92</v>
      </c>
      <c s="146" t="str">
        <f>'透射比示值误差与重复性校验'!$D11&amp;";"&amp;'透射比示值误差与重复性校验'!$E11&amp;";"&amp;'透射比示值误差与重复性校验'!$F11</f>
        <v>;;</v>
      </c>
      <c s="146" t="str">
        <f>'透射比示值误差与重复性校验'!$G11</f>
        <v/>
      </c>
      <c s="146" t="str">
        <f>'透射比示值误差与重复性校验'!$H11</f>
        <v/>
      </c>
      <c s="373">
        <f>'透射比示值误差与重复性校验'!$I11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'透射比示值误差与重复性校验'!$L11</f>
        <v>未检测</v>
      </c>
      <c s="146"/>
      <c s="219">
        <v>2003</v>
      </c>
    </row>
    <row r="21" customHeight="1">
      <c r="A21" s="219">
        <v>2011</v>
      </c>
      <c s="214" t="str">
        <f ca="1" t="shared" si="0"/>
        <v>34U1704-01-0023</v>
      </c>
      <c s="219">
        <f>'透射比示值误差与重复性校验'!$C12</f>
        <v>23.59</v>
      </c>
      <c s="146" t="str">
        <f>'透射比示值误差与重复性校验'!$D12&amp;";"&amp;'透射比示值误差与重复性校验'!$E12&amp;";"&amp;'透射比示值误差与重复性校验'!$F12</f>
        <v>;;</v>
      </c>
      <c s="146" t="str">
        <f>'透射比示值误差与重复性校验'!$G12</f>
        <v/>
      </c>
      <c s="146" t="str">
        <f>'透射比示值误差与重复性校验'!$H12</f>
        <v/>
      </c>
      <c s="373">
        <f>'透射比示值误差与重复性校验'!$I12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'透射比示值误差与重复性校验'!$L12</f>
        <v>未检测</v>
      </c>
      <c s="146"/>
      <c s="219">
        <v>2004</v>
      </c>
    </row>
    <row r="22" customHeight="1">
      <c r="A22" s="219">
        <v>2012</v>
      </c>
      <c s="214" t="str">
        <f ca="1" t="shared" si="0"/>
        <v>34U1704-01-0023</v>
      </c>
      <c s="219">
        <f>'透射比示值误差与重复性校验'!$C13</f>
        <v>29.32</v>
      </c>
      <c s="146" t="str">
        <f>'透射比示值误差与重复性校验'!$D13&amp;";"&amp;'透射比示值误差与重复性校验'!$E13&amp;";"&amp;'透射比示值误差与重复性校验'!$F13</f>
        <v>;;</v>
      </c>
      <c s="146" t="str">
        <f>'透射比示值误差与重复性校验'!$G13</f>
        <v/>
      </c>
      <c s="146" t="str">
        <f>'透射比示值误差与重复性校验'!$H13</f>
        <v/>
      </c>
      <c s="373">
        <f>'透射比示值误差与重复性校验'!$I13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'透射比示值误差与重复性校验'!$L13</f>
        <v>未检测</v>
      </c>
      <c s="146"/>
      <c s="219">
        <v>2004</v>
      </c>
    </row>
    <row r="23" customHeight="1">
      <c r="A23" s="219">
        <v>2013</v>
      </c>
      <c s="214" t="str">
        <f ca="1" t="shared" si="0"/>
        <v>34U1704-01-0023</v>
      </c>
      <c s="219">
        <f>'透射比示值误差与重复性校验'!$C14</f>
        <v>29.91</v>
      </c>
      <c s="146" t="str">
        <f>'透射比示值误差与重复性校验'!$D14&amp;";"&amp;'透射比示值误差与重复性校验'!$E14&amp;";"&amp;'透射比示值误差与重复性校验'!$F14</f>
        <v>;;</v>
      </c>
      <c s="146" t="str">
        <f>'透射比示值误差与重复性校验'!$G14</f>
        <v/>
      </c>
      <c s="146" t="str">
        <f>'透射比示值误差与重复性校验'!$H14</f>
        <v/>
      </c>
      <c s="373">
        <f>'透射比示值误差与重复性校验'!$I14</f>
        <v>0</v>
      </c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'透射比示值误差与重复性校验'!$L14</f>
        <v>未检测</v>
      </c>
      <c s="146"/>
      <c s="219">
        <v>2004</v>
      </c>
    </row>
    <row r="24" customHeight="1">
      <c r="A24" s="219">
        <v>3001</v>
      </c>
      <c s="214" t="str">
        <f ca="1" t="shared" si="0"/>
        <v>34U1704-01-0023</v>
      </c>
      <c s="219">
        <f>'杂散光校验'!$B2</f>
        <v>220</v>
      </c>
      <c s="146" t="str">
        <f>'杂散光校验'!$C2&amp;";"&amp;'杂散光校验'!$D2&amp;";"&amp;'杂散光校验'!$E2</f>
        <v>;;</v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'杂散光校验'!$G2</f>
        <v>未检测</v>
      </c>
      <c s="146"/>
      <c s="219">
        <v>3001</v>
      </c>
    </row>
    <row r="25" customHeight="1">
      <c r="A25" s="219">
        <v>3002</v>
      </c>
      <c s="214" t="str">
        <f ca="1" t="shared" si="0"/>
        <v>34U1704-01-0023</v>
      </c>
      <c s="219">
        <f>'杂散光校验'!$B3</f>
        <v>360</v>
      </c>
      <c s="146" t="str">
        <f>'杂散光校验'!$C3&amp;";"&amp;'杂散光校验'!$D3&amp;";"&amp;'杂散光校验'!$E3</f>
        <v>;;</v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'杂散光校验'!$G3</f>
        <v>未检测</v>
      </c>
      <c s="146"/>
      <c s="219">
        <v>3002</v>
      </c>
    </row>
    <row r="26" customHeight="1">
      <c r="A26" s="219">
        <v>4001</v>
      </c>
      <c s="214" t="str">
        <f ca="1" t="shared" si="0"/>
        <v>34U1704-01-0023</v>
      </c>
      <c s="143"/>
      <c s="146">
        <f>'基线平直度检验'!$B$2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'基线平直度检验'!$D$2</f>
        <v>未检测</v>
      </c>
      <c s="146"/>
      <c s="219">
        <v>4001</v>
      </c>
    </row>
    <row r="27" customHeight="1">
      <c r="A27" s="219">
        <v>5001</v>
      </c>
      <c s="214" t="str">
        <f ca="1" t="shared" si="0"/>
        <v>34U1704-01-0023</v>
      </c>
      <c s="143"/>
      <c s="146">
        <f>'基线暗噪声检验'!$B$2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'基线暗噪声检验'!$D$2</f>
        <v>未检测</v>
      </c>
      <c s="146"/>
      <c s="219">
        <v>5001</v>
      </c>
    </row>
    <row r="28" customHeight="1">
      <c r="A28" s="219">
        <v>6001</v>
      </c>
      <c s="214" t="str">
        <f ca="1" t="shared" si="0"/>
        <v>34U1704-01-0023</v>
      </c>
      <c s="219">
        <f>'光谱带宽与仪器最小光谱带宽'!$C2</f>
        <v>5</v>
      </c>
      <c s="146">
        <f>'光谱带宽与仪器最小光谱带宽'!$D2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'光谱带宽与仪器最小光谱带宽'!$G2</f>
        <v>未检测</v>
      </c>
      <c s="146"/>
      <c s="219">
        <v>6001</v>
      </c>
    </row>
    <row r="29" customHeight="1">
      <c r="A29" s="219">
        <v>6002</v>
      </c>
      <c s="214" t="str">
        <f ca="1" t="shared" si="0"/>
        <v>34U1704-01-0023</v>
      </c>
      <c s="219">
        <f>'光谱带宽与仪器最小光谱带宽'!$C3</f>
        <v>2</v>
      </c>
      <c s="146">
        <f>'光谱带宽与仪器最小光谱带宽'!$D3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'光谱带宽与仪器最小光谱带宽'!$G3</f>
        <v>未检测</v>
      </c>
      <c s="146"/>
      <c s="142">
        <v>6002</v>
      </c>
    </row>
    <row r="30" customHeight="1">
      <c r="A30" s="219">
        <v>6003</v>
      </c>
      <c s="214" t="str">
        <f ca="1" t="shared" si="0"/>
        <v>34U1704-01-0023</v>
      </c>
      <c s="219">
        <f>'光谱带宽与仪器最小光谱带宽'!$C4</f>
        <v>1</v>
      </c>
      <c s="146">
        <f>'光谱带宽与仪器最小光谱带宽'!$D4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'光谱带宽与仪器最小光谱带宽'!$G4</f>
        <v>未检测</v>
      </c>
      <c s="146"/>
      <c s="219">
        <v>6003</v>
      </c>
    </row>
    <row r="31" customHeight="1">
      <c r="A31" s="219">
        <v>6004</v>
      </c>
      <c s="214" t="str">
        <f ca="1" t="shared" si="0"/>
        <v>34U1704-01-0023</v>
      </c>
      <c s="219">
        <f>'光谱带宽与仪器最小光谱带宽'!$C5</f>
        <v>0.5</v>
      </c>
      <c s="146">
        <f>'光谱带宽与仪器最小光谱带宽'!$D5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'光谱带宽与仪器最小光谱带宽'!$G5</f>
        <v>未检测</v>
      </c>
      <c s="146"/>
      <c s="142">
        <v>6004</v>
      </c>
    </row>
    <row r="32" customHeight="1">
      <c r="A32" s="219">
        <v>6005</v>
      </c>
      <c s="214" t="str">
        <f ca="1" t="shared" si="0"/>
        <v>34U1704-01-0023</v>
      </c>
      <c s="219">
        <f>'光谱带宽与仪器最小光谱带宽'!$C6</f>
        <v>0.2</v>
      </c>
      <c s="146">
        <f>'光谱带宽与仪器最小光谱带宽'!$D6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'光谱带宽与仪器最小光谱带宽'!$G6</f>
        <v>未检测</v>
      </c>
      <c s="146"/>
      <c s="219">
        <v>6005</v>
      </c>
    </row>
    <row r="33" customHeight="1">
      <c r="A33" s="219">
        <v>7001</v>
      </c>
      <c s="214" t="str">
        <f ca="1" t="shared" si="0"/>
        <v>34U1704-01-0023</v>
      </c>
      <c s="219">
        <f>'噪声检验'!$B2</f>
        <v>500</v>
      </c>
      <c s="146">
        <f>'噪声检验'!$C2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'噪声检验'!$E2</f>
        <v>未检测</v>
      </c>
      <c s="146"/>
      <c s="219">
        <v>7001</v>
      </c>
    </row>
    <row r="34" customHeight="1">
      <c r="A34" s="219">
        <v>7002</v>
      </c>
      <c s="214" t="str">
        <f ca="1" t="shared" si="0"/>
        <v>34U1704-01-0023</v>
      </c>
      <c s="219">
        <f>'噪声检验'!$B3</f>
        <v>500</v>
      </c>
      <c s="146">
        <f>'噪声检验'!$C3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'噪声检验'!$E3</f>
        <v>未检测</v>
      </c>
      <c s="146"/>
      <c s="219">
        <v>7002</v>
      </c>
    </row>
    <row r="35" customHeight="1">
      <c r="A35" s="219">
        <v>7003</v>
      </c>
      <c s="214" t="str">
        <f ca="1" t="shared" si="0"/>
        <v>34U1704-01-0023</v>
      </c>
      <c s="219">
        <f>'噪声检验'!$B4</f>
        <v>250</v>
      </c>
      <c s="146">
        <f>'噪声检验'!$C4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'噪声检验'!$E4</f>
        <v>未检测</v>
      </c>
      <c s="146"/>
      <c s="219">
        <v>7003</v>
      </c>
    </row>
    <row r="36" customHeight="1">
      <c r="A36" s="219">
        <v>7004</v>
      </c>
      <c s="214" t="str">
        <f ca="1" t="shared" si="0"/>
        <v>34U1704-01-0023</v>
      </c>
      <c s="219">
        <f>'噪声检验'!$B5</f>
        <v>250</v>
      </c>
      <c s="146">
        <f>'噪声检验'!$C5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'噪声检验'!$E5</f>
        <v>未检测</v>
      </c>
      <c s="146"/>
      <c s="219">
        <v>7004</v>
      </c>
    </row>
    <row r="37" customHeight="1">
      <c r="A37" s="219">
        <v>8001</v>
      </c>
      <c s="214" t="str">
        <f ca="1" t="shared" si="0"/>
        <v>34U1704-01-0023</v>
      </c>
      <c s="219">
        <f>'波长边缘噪声'!$B2</f>
        <v>1090</v>
      </c>
      <c s="146">
        <f>'波长边缘噪声'!$C2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'波长边缘噪声'!$E2</f>
        <v>未检测</v>
      </c>
      <c s="146"/>
      <c s="219">
        <v>8001</v>
      </c>
    </row>
    <row r="38" customHeight="1">
      <c r="A38" s="219">
        <v>8002</v>
      </c>
      <c s="214" t="str">
        <f ca="1" t="shared" si="0"/>
        <v>34U1704-01-0023</v>
      </c>
      <c s="219">
        <f>'波长边缘噪声'!$B3</f>
        <v>1090</v>
      </c>
      <c s="146">
        <f>'波长边缘噪声'!$C3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'波长边缘噪声'!$E3</f>
        <v>未检测</v>
      </c>
      <c s="146"/>
      <c s="219">
        <v>8002</v>
      </c>
    </row>
    <row r="39" customHeight="1">
      <c r="A39" s="219">
        <v>8003</v>
      </c>
      <c s="214" t="str">
        <f ca="1" t="shared" si="0"/>
        <v>34U1704-01-0023</v>
      </c>
      <c s="219">
        <f>'波长边缘噪声'!$B4</f>
        <v>200</v>
      </c>
      <c s="146">
        <f>'波长边缘噪声'!$C4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'波长边缘噪声'!$E4</f>
        <v>未检测</v>
      </c>
      <c s="146"/>
      <c s="219">
        <v>8003</v>
      </c>
    </row>
    <row r="40" customHeight="1">
      <c r="A40" s="310">
        <v>8004</v>
      </c>
      <c s="214" t="str">
        <f ca="1" t="shared" si="0"/>
        <v>34U1704-01-0023</v>
      </c>
      <c s="219">
        <f>'波长边缘噪声'!$B5</f>
        <v>200</v>
      </c>
      <c s="146">
        <f>'波长边缘噪声'!$C5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'波长边缘噪声'!$E5</f>
        <v>未检测</v>
      </c>
      <c s="146"/>
      <c s="219">
        <v>8004</v>
      </c>
    </row>
    <row r="41" customHeight="1">
      <c r="A41" s="310">
        <v>9001</v>
      </c>
      <c s="214" t="str">
        <f ca="1" t="shared" si="0"/>
        <v>34U1704-01-0023</v>
      </c>
      <c s="219">
        <f>'漂移检验'!$B$2</f>
        <v>500</v>
      </c>
      <c s="146">
        <f>'漂移检验'!$C$2</f>
      </c>
      <c s="146"/>
      <c s="146"/>
      <c s="146"/>
      <c s="146">
        <f>Report!$F$5</f>
      </c>
      <c s="190">
        <f ca="1" t="shared" si="1"/>
        <v>45952.78751918981</v>
      </c>
      <c s="146">
        <f>Report!$N$5</f>
      </c>
      <c s="146"/>
      <c s="146">
        <f>Report!$C$6</f>
      </c>
      <c s="146">
        <f>Report!$H$6</f>
      </c>
      <c s="143" t="str">
        <f>'漂移检验'!$E$2</f>
        <v>未检测</v>
      </c>
      <c s="146"/>
      <c s="219">
        <v>9001</v>
      </c>
    </row>
    <row r="42" customHeight="1">
      <c r="H42" s="372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42"/>
  <sheetViews>
    <sheetView topLeftCell="A1" workbookViewId="0" showGridLines="0">
      <pane topLeftCell="A1"/>
      <selection activeCellId="0" activeCell="K64" sqref="K64"/>
    </sheetView>
  </sheetViews>
  <sheetFormatPr defaultColWidth="9" defaultRowHeight="13.5" customHeight="1"/>
  <cols>
    <col min="1" max="1" width="9" style="105"/>
    <col min="2" max="2" width="17.25" customWidth="1" style="105"/>
    <col min="3" max="3" width="29.25" customWidth="1" style="105"/>
    <col min="4" max="4" width="12.38" customWidth="1" style="105"/>
    <col min="5" max="5" width="22.63" customWidth="1" style="106"/>
    <col min="6" max="6" width="9" style="105"/>
    <col min="7" max="7" width="16.88" customWidth="1" style="105"/>
    <col min="8" max="8" width="29.25" customWidth="1" style="105"/>
    <col min="9" max="9" width="12.38" customWidth="1" style="105"/>
    <col min="10" max="10" width="3.75" customWidth="1" style="105"/>
    <col min="11" max="11" width="17.25" customWidth="1" style="105"/>
    <col min="12" max="12" width="16.88" customWidth="1" style="105"/>
    <col min="13" max="13" width="12.38" customWidth="1" style="10"/>
    <col min="14" max="14" width="5.75" customWidth="1" style="105"/>
    <col min="15" max="15" width="11.63" customWidth="1" style="105"/>
    <col min="16" max="16" width="5.75" customWidth="1" style="105"/>
    <col min="17" max="17" width="20.38" customWidth="1" style="105"/>
    <col min="18" max="18" width="14.88" customWidth="1" style="105"/>
    <col min="19" max="20" width="13.88" customWidth="1" style="105"/>
    <col min="21" max="21" width="19" customWidth="1" style="105"/>
    <col min="22" max="22" width="7.5" customWidth="1" style="105"/>
    <col min="23" max="23" width="19.38" customWidth="1" style="105"/>
    <col min="24" max="25" width="13.88" customWidth="1" style="105"/>
    <col min="26" max="26" width="14.88" customWidth="1" style="105"/>
    <col min="27" max="16384" width="9" style="105"/>
  </cols>
  <sheetData>
    <row r="1" customHeight="1">
      <c r="A1" s="135" t="s">
        <v>17</v>
      </c>
      <c s="144"/>
      <c s="144"/>
      <c s="144"/>
      <c s="144"/>
      <c s="144"/>
      <c s="144"/>
      <c s="124"/>
      <c r="M1" s="332"/>
      <c r="O1" s="134"/>
    </row>
    <row r="2" customHeight="1">
      <c r="A2" s="279" t="s">
        <v>5</v>
      </c>
      <c s="279" t="s">
        <v>178</v>
      </c>
      <c s="279" t="s">
        <v>179</v>
      </c>
      <c s="279" t="s">
        <v>180</v>
      </c>
      <c s="279" t="s">
        <v>181</v>
      </c>
      <c s="279" t="s">
        <v>124</v>
      </c>
      <c s="279" t="s">
        <v>182</v>
      </c>
      <c s="279" t="s">
        <v>183</v>
      </c>
      <c r="M2" s="332"/>
      <c r="O2" s="134"/>
    </row>
    <row r="3" customHeight="1">
      <c r="A3" s="138" t="s">
        <v>184</v>
      </c>
      <c s="136">
        <v>1E+3</v>
      </c>
      <c s="138" t="s">
        <v>185</v>
      </c>
      <c s="136">
        <v>1001</v>
      </c>
      <c s="221" t="s">
        <v>25</v>
      </c>
      <c s="118" t="s">
        <v>186</v>
      </c>
      <c s="277">
        <v>0.1</v>
      </c>
      <c s="151">
        <v>0.1</v>
      </c>
      <c r="M3" s="332"/>
      <c r="O3" s="134"/>
    </row>
    <row r="4" customHeight="1">
      <c r="A4" s="138" t="s">
        <v>184</v>
      </c>
      <c s="136">
        <v>1E+3</v>
      </c>
      <c s="138" t="s">
        <v>185</v>
      </c>
      <c s="136">
        <v>1002</v>
      </c>
      <c s="221" t="s">
        <v>25</v>
      </c>
      <c s="136">
        <v>486</v>
      </c>
      <c s="277">
        <v>0.1</v>
      </c>
      <c s="151">
        <v>0.1</v>
      </c>
      <c r="M4" s="332"/>
      <c r="O4" s="134"/>
    </row>
    <row r="5" customHeight="1">
      <c r="A5" s="138" t="s">
        <v>184</v>
      </c>
      <c s="136">
        <v>1E+3</v>
      </c>
      <c s="138" t="s">
        <v>185</v>
      </c>
      <c s="136">
        <v>1003</v>
      </c>
      <c s="221" t="s">
        <v>24</v>
      </c>
      <c s="118" t="s">
        <v>187</v>
      </c>
      <c s="277">
        <v>0.3</v>
      </c>
      <c s="151">
        <v>0.1</v>
      </c>
      <c r="J5" s="372"/>
      <c s="372"/>
      <c s="372"/>
      <c s="372"/>
      <c r="S5" s="108"/>
    </row>
    <row r="6" customHeight="1">
      <c r="A6" s="138" t="s">
        <v>184</v>
      </c>
      <c s="136">
        <v>1E+3</v>
      </c>
      <c s="138" t="s">
        <v>185</v>
      </c>
      <c s="136">
        <v>1008</v>
      </c>
      <c s="221" t="s">
        <v>33</v>
      </c>
      <c s="118" t="s">
        <v>188</v>
      </c>
      <c s="277">
        <v>0.3</v>
      </c>
      <c s="151">
        <v>0.1</v>
      </c>
      <c s="141"/>
      <c s="110"/>
      <c s="110"/>
      <c r="M6" s="332"/>
    </row>
    <row r="7" customHeight="1">
      <c r="A7" s="138" t="s">
        <v>184</v>
      </c>
      <c s="136">
        <v>1E+3</v>
      </c>
      <c s="138" t="s">
        <v>185</v>
      </c>
      <c s="136">
        <v>1009</v>
      </c>
      <c s="221" t="s">
        <v>33</v>
      </c>
      <c s="118" t="s">
        <v>189</v>
      </c>
      <c s="277">
        <v>0.3</v>
      </c>
      <c s="151">
        <v>0.1</v>
      </c>
      <c r="J7" s="110"/>
      <c s="110"/>
      <c r="M7" s="332"/>
    </row>
    <row r="8" customHeight="1">
      <c r="A8" s="138" t="s">
        <v>184</v>
      </c>
      <c s="136">
        <v>1E+3</v>
      </c>
      <c s="138" t="s">
        <v>185</v>
      </c>
      <c s="136">
        <v>1010</v>
      </c>
      <c s="221" t="s">
        <v>33</v>
      </c>
      <c s="118" t="s">
        <v>190</v>
      </c>
      <c s="277">
        <v>0.3</v>
      </c>
      <c s="151">
        <v>0.1</v>
      </c>
      <c r="J8" s="110"/>
      <c s="110"/>
      <c r="M8" s="332"/>
    </row>
    <row r="9" customHeight="1">
      <c r="A9" s="138" t="s">
        <v>184</v>
      </c>
      <c s="136">
        <v>1E+3</v>
      </c>
      <c s="138" t="s">
        <v>185</v>
      </c>
      <c s="136">
        <v>1011</v>
      </c>
      <c s="221" t="s">
        <v>33</v>
      </c>
      <c s="118" t="s">
        <v>191</v>
      </c>
      <c s="277">
        <v>0.3</v>
      </c>
      <c s="151">
        <v>0.1</v>
      </c>
      <c r="J9" s="110"/>
      <c s="110"/>
      <c r="M9" s="332"/>
    </row>
    <row r="10" customHeight="1">
      <c r="A10" s="138" t="s">
        <v>184</v>
      </c>
      <c s="136">
        <v>1E+3</v>
      </c>
      <c s="138" t="s">
        <v>185</v>
      </c>
      <c s="136">
        <v>1012</v>
      </c>
      <c s="221" t="s">
        <v>33</v>
      </c>
      <c s="118" t="s">
        <v>192</v>
      </c>
      <c s="277">
        <v>0.3</v>
      </c>
      <c s="151">
        <v>0.1</v>
      </c>
      <c r="J10" s="110"/>
      <c s="110"/>
      <c r="M10" s="332"/>
    </row>
    <row r="11" customHeight="1">
      <c r="A11" s="138" t="s">
        <v>184</v>
      </c>
      <c s="136">
        <v>1E+3</v>
      </c>
      <c s="138" t="s">
        <v>185</v>
      </c>
      <c s="136">
        <v>1013</v>
      </c>
      <c s="221" t="s">
        <v>33</v>
      </c>
      <c s="118" t="s">
        <v>193</v>
      </c>
      <c s="277">
        <v>0.3</v>
      </c>
      <c s="151">
        <v>0.1</v>
      </c>
      <c r="J11" s="110"/>
      <c s="110"/>
      <c r="M11" s="332"/>
    </row>
    <row r="12" ht="14.25" customHeight="1">
      <c r="A12" s="138" t="s">
        <v>184</v>
      </c>
      <c s="136">
        <v>2E+3</v>
      </c>
      <c s="138" t="s">
        <v>194</v>
      </c>
      <c s="136">
        <v>2001</v>
      </c>
      <c s="221" t="s">
        <v>50</v>
      </c>
      <c s="314" t="s">
        <v>195</v>
      </c>
      <c s="136">
        <v>0.3</v>
      </c>
      <c s="136">
        <v>0.1</v>
      </c>
      <c r="J12" s="110"/>
      <c s="141"/>
      <c r="M12" s="332"/>
    </row>
    <row r="13" ht="25.5">
      <c r="A13" s="138" t="s">
        <v>184</v>
      </c>
      <c s="136">
        <v>2E+3</v>
      </c>
      <c s="138" t="s">
        <v>194</v>
      </c>
      <c s="136">
        <v>2002</v>
      </c>
      <c s="221" t="s">
        <v>50</v>
      </c>
      <c s="314" t="s">
        <v>196</v>
      </c>
      <c s="136">
        <v>0.3</v>
      </c>
      <c s="136">
        <v>0.1</v>
      </c>
      <c r="J13" s="110"/>
      <c s="141"/>
      <c r="M13" s="332"/>
    </row>
    <row r="14" ht="25.5">
      <c r="A14" s="138" t="s">
        <v>184</v>
      </c>
      <c s="136">
        <v>2E+3</v>
      </c>
      <c s="138" t="s">
        <v>194</v>
      </c>
      <c s="136">
        <v>2003</v>
      </c>
      <c s="221" t="s">
        <v>50</v>
      </c>
      <c s="314" t="s">
        <v>197</v>
      </c>
      <c s="136">
        <v>0.3</v>
      </c>
      <c s="136">
        <v>0.1</v>
      </c>
      <c r="J14" s="110"/>
      <c s="141"/>
      <c r="M14" s="332"/>
    </row>
    <row r="15" ht="25.5">
      <c r="A15" s="138" t="s">
        <v>184</v>
      </c>
      <c s="136">
        <v>2E+3</v>
      </c>
      <c s="138" t="s">
        <v>194</v>
      </c>
      <c s="136">
        <v>2004</v>
      </c>
      <c s="221" t="s">
        <v>50</v>
      </c>
      <c s="314" t="s">
        <v>198</v>
      </c>
      <c s="136">
        <v>0.3</v>
      </c>
      <c s="136">
        <v>0.1</v>
      </c>
      <c r="J15" s="110"/>
      <c s="141"/>
      <c r="M15" s="332"/>
    </row>
    <row r="16" customHeight="1">
      <c r="A16" s="138" t="s">
        <v>184</v>
      </c>
      <c s="136">
        <v>2E+3</v>
      </c>
      <c s="138" t="s">
        <v>194</v>
      </c>
      <c s="136">
        <v>2005</v>
      </c>
      <c s="314" t="s">
        <v>40</v>
      </c>
      <c s="314" t="s">
        <v>199</v>
      </c>
      <c s="136">
        <v>0.3</v>
      </c>
      <c s="136">
        <v>0.1</v>
      </c>
      <c r="M16" s="332"/>
    </row>
    <row r="17" customHeight="1">
      <c r="A17" s="138" t="s">
        <v>184</v>
      </c>
      <c s="136">
        <v>2E+3</v>
      </c>
      <c s="138" t="s">
        <v>194</v>
      </c>
      <c s="136">
        <v>2006</v>
      </c>
      <c s="314" t="s">
        <v>40</v>
      </c>
      <c s="314" t="s">
        <v>200</v>
      </c>
      <c s="136">
        <v>0.3</v>
      </c>
      <c s="136">
        <v>0.1</v>
      </c>
      <c r="M17" s="332"/>
    </row>
    <row r="18" customHeight="1">
      <c r="A18" s="138" t="s">
        <v>184</v>
      </c>
      <c s="136">
        <v>2E+3</v>
      </c>
      <c s="138" t="s">
        <v>194</v>
      </c>
      <c s="136">
        <v>2007</v>
      </c>
      <c s="314" t="s">
        <v>40</v>
      </c>
      <c s="314" t="s">
        <v>201</v>
      </c>
      <c s="136">
        <v>0.3</v>
      </c>
      <c s="136">
        <v>0.1</v>
      </c>
      <c r="M18" s="332"/>
    </row>
    <row r="19" customHeight="1">
      <c r="A19" s="138" t="s">
        <v>184</v>
      </c>
      <c s="136">
        <v>2E+3</v>
      </c>
      <c s="138" t="s">
        <v>194</v>
      </c>
      <c s="136">
        <v>2008</v>
      </c>
      <c s="314" t="s">
        <v>46</v>
      </c>
      <c s="314" t="s">
        <v>199</v>
      </c>
      <c s="136">
        <v>0.3</v>
      </c>
      <c s="136">
        <v>0.1</v>
      </c>
      <c r="M19" s="332"/>
    </row>
    <row r="20" customHeight="1">
      <c r="A20" s="138" t="s">
        <v>184</v>
      </c>
      <c s="136">
        <v>2E+3</v>
      </c>
      <c s="138" t="s">
        <v>194</v>
      </c>
      <c s="136">
        <v>2009</v>
      </c>
      <c s="314" t="s">
        <v>46</v>
      </c>
      <c s="314" t="s">
        <v>200</v>
      </c>
      <c s="136">
        <v>0.3</v>
      </c>
      <c s="136">
        <v>0.1</v>
      </c>
      <c r="M20" s="332"/>
    </row>
    <row r="21" customHeight="1">
      <c r="A21" s="138" t="s">
        <v>184</v>
      </c>
      <c s="136">
        <v>2E+3</v>
      </c>
      <c s="138" t="s">
        <v>194</v>
      </c>
      <c s="136">
        <v>2010</v>
      </c>
      <c s="314" t="s">
        <v>46</v>
      </c>
      <c s="314" t="s">
        <v>201</v>
      </c>
      <c s="136">
        <v>0.3</v>
      </c>
      <c s="136">
        <v>0.1</v>
      </c>
      <c r="M21" s="332"/>
    </row>
    <row r="22" customHeight="1">
      <c r="A22" s="138" t="s">
        <v>184</v>
      </c>
      <c s="136">
        <v>2E+3</v>
      </c>
      <c s="138" t="s">
        <v>194</v>
      </c>
      <c s="136">
        <v>2011</v>
      </c>
      <c s="314" t="s">
        <v>48</v>
      </c>
      <c s="314" t="s">
        <v>199</v>
      </c>
      <c s="136">
        <v>0.3</v>
      </c>
      <c s="136">
        <v>0.1</v>
      </c>
      <c r="M22" s="332"/>
    </row>
    <row r="23" customHeight="1">
      <c r="A23" s="138" t="s">
        <v>184</v>
      </c>
      <c s="136">
        <v>2E+3</v>
      </c>
      <c s="138" t="s">
        <v>194</v>
      </c>
      <c s="136">
        <v>2012</v>
      </c>
      <c s="314" t="s">
        <v>48</v>
      </c>
      <c s="314" t="s">
        <v>200</v>
      </c>
      <c s="136">
        <v>0.3</v>
      </c>
      <c s="136">
        <v>0.1</v>
      </c>
      <c r="M23" s="332"/>
    </row>
    <row r="24" customHeight="1">
      <c r="A24" s="138" t="s">
        <v>184</v>
      </c>
      <c s="136">
        <v>2E+3</v>
      </c>
      <c s="138" t="s">
        <v>194</v>
      </c>
      <c s="136">
        <v>2013</v>
      </c>
      <c s="314" t="s">
        <v>48</v>
      </c>
      <c s="314" t="s">
        <v>201</v>
      </c>
      <c s="136">
        <v>0.3</v>
      </c>
      <c s="136">
        <v>0.1</v>
      </c>
      <c r="M24" s="332"/>
    </row>
    <row r="25" customHeight="1">
      <c r="A25" s="138" t="s">
        <v>184</v>
      </c>
      <c s="136">
        <v>3E+3</v>
      </c>
      <c s="138" t="s">
        <v>202</v>
      </c>
      <c s="136">
        <v>3001</v>
      </c>
      <c s="291" t="s">
        <v>57</v>
      </c>
      <c s="112" t="s">
        <v>55</v>
      </c>
      <c s="111">
        <v>0.01</v>
      </c>
      <c s="138"/>
      <c r="M25" s="332"/>
    </row>
    <row r="26" customHeight="1">
      <c r="A26" s="138" t="s">
        <v>184</v>
      </c>
      <c s="136">
        <v>3E+3</v>
      </c>
      <c s="138" t="s">
        <v>202</v>
      </c>
      <c s="136">
        <v>3002</v>
      </c>
      <c s="291" t="s">
        <v>61</v>
      </c>
      <c s="112" t="s">
        <v>59</v>
      </c>
      <c s="111">
        <v>0.02</v>
      </c>
      <c s="138"/>
      <c r="M26" s="332"/>
    </row>
    <row r="27" customHeight="1">
      <c r="A27" s="138" t="s">
        <v>184</v>
      </c>
      <c s="136">
        <v>4E+3</v>
      </c>
      <c s="138" t="s">
        <v>203</v>
      </c>
      <c s="136">
        <v>4001</v>
      </c>
      <c s="291" t="s">
        <v>62</v>
      </c>
      <c s="138"/>
      <c s="127">
        <v>0.0005</v>
      </c>
      <c s="138"/>
      <c r="M27" s="332"/>
    </row>
    <row r="28" customHeight="1">
      <c r="A28" s="138" t="s">
        <v>184</v>
      </c>
      <c s="136">
        <v>5E+3</v>
      </c>
      <c s="138" t="s">
        <v>204</v>
      </c>
      <c s="136">
        <v>5001</v>
      </c>
      <c s="291" t="s">
        <v>65</v>
      </c>
      <c s="138"/>
      <c s="119">
        <v>0.1</v>
      </c>
      <c s="138"/>
      <c r="M28" s="332"/>
    </row>
    <row r="29" customHeight="1">
      <c r="A29" s="138" t="s">
        <v>184</v>
      </c>
      <c s="136">
        <v>6E+3</v>
      </c>
      <c s="138" t="s">
        <v>205</v>
      </c>
      <c s="136">
        <v>6001</v>
      </c>
      <c s="291" t="s">
        <v>70</v>
      </c>
      <c s="115">
        <v>656.1</v>
      </c>
      <c s="120">
        <v>20</v>
      </c>
      <c s="138"/>
      <c r="M29" s="332"/>
    </row>
    <row r="30" customHeight="1">
      <c r="A30" s="138" t="s">
        <v>184</v>
      </c>
      <c s="136">
        <v>6E+3</v>
      </c>
      <c s="138" t="s">
        <v>205</v>
      </c>
      <c s="136">
        <v>6002</v>
      </c>
      <c s="291" t="s">
        <v>71</v>
      </c>
      <c s="115">
        <v>656.1</v>
      </c>
      <c s="120">
        <v>20</v>
      </c>
      <c s="138"/>
      <c r="M30" s="332"/>
    </row>
    <row r="31" customHeight="1">
      <c r="A31" s="138" t="s">
        <v>184</v>
      </c>
      <c s="136">
        <v>6E+3</v>
      </c>
      <c s="138" t="s">
        <v>205</v>
      </c>
      <c s="136">
        <v>6003</v>
      </c>
      <c s="291" t="s">
        <v>72</v>
      </c>
      <c s="115">
        <v>656.1</v>
      </c>
      <c s="120">
        <v>20</v>
      </c>
      <c s="138"/>
      <c r="M31" s="332"/>
    </row>
    <row r="32" customHeight="1">
      <c r="A32" s="138" t="s">
        <v>184</v>
      </c>
      <c s="136">
        <v>6E+3</v>
      </c>
      <c s="138" t="s">
        <v>205</v>
      </c>
      <c s="136">
        <v>6004</v>
      </c>
      <c s="291" t="s">
        <v>73</v>
      </c>
      <c s="115">
        <v>656.1</v>
      </c>
      <c s="120">
        <v>20</v>
      </c>
      <c s="138"/>
      <c r="M32" s="332"/>
    </row>
    <row r="33" customHeight="1">
      <c r="A33" s="138" t="s">
        <v>184</v>
      </c>
      <c s="136">
        <v>6E+3</v>
      </c>
      <c s="138" t="s">
        <v>205</v>
      </c>
      <c s="136">
        <v>6005</v>
      </c>
      <c s="291" t="s">
        <v>74</v>
      </c>
      <c s="115">
        <v>656.1</v>
      </c>
      <c s="120">
        <v>20</v>
      </c>
      <c s="138"/>
      <c r="M33" s="332"/>
    </row>
    <row r="34" customHeight="1">
      <c r="A34" s="138" t="s">
        <v>184</v>
      </c>
      <c s="136">
        <v>7E+3</v>
      </c>
      <c s="138" t="s">
        <v>206</v>
      </c>
      <c s="136">
        <v>7001</v>
      </c>
      <c s="138" t="s">
        <v>207</v>
      </c>
      <c s="309">
        <v>500</v>
      </c>
      <c s="121">
        <v>0.05</v>
      </c>
      <c s="138"/>
      <c r="M34" s="332"/>
    </row>
    <row r="35" customHeight="1">
      <c r="A35" s="138" t="s">
        <v>184</v>
      </c>
      <c s="136">
        <v>7E+3</v>
      </c>
      <c s="138" t="s">
        <v>206</v>
      </c>
      <c s="136">
        <v>7002</v>
      </c>
      <c s="138" t="s">
        <v>208</v>
      </c>
      <c s="309">
        <v>500</v>
      </c>
      <c s="133">
        <v>0.005</v>
      </c>
      <c s="138"/>
      <c r="M35" s="332"/>
    </row>
    <row r="36" customHeight="1">
      <c r="A36" s="138" t="s">
        <v>184</v>
      </c>
      <c s="136">
        <v>7E+3</v>
      </c>
      <c s="138" t="s">
        <v>206</v>
      </c>
      <c s="136">
        <v>7003</v>
      </c>
      <c s="138" t="s">
        <v>209</v>
      </c>
      <c s="309">
        <v>250</v>
      </c>
      <c s="121">
        <v>0.05</v>
      </c>
      <c s="138"/>
      <c r="M36" s="332"/>
    </row>
    <row r="37" customHeight="1">
      <c r="A37" s="138" t="s">
        <v>184</v>
      </c>
      <c s="136">
        <v>7E+3</v>
      </c>
      <c s="138" t="s">
        <v>206</v>
      </c>
      <c s="136">
        <v>7004</v>
      </c>
      <c s="138" t="s">
        <v>210</v>
      </c>
      <c s="309">
        <v>250</v>
      </c>
      <c s="133">
        <v>0.005</v>
      </c>
      <c s="138"/>
      <c r="M37" s="332"/>
    </row>
    <row r="38" customHeight="1">
      <c r="A38" s="138" t="s">
        <v>184</v>
      </c>
      <c s="136">
        <v>8E+3</v>
      </c>
      <c s="138" t="s">
        <v>211</v>
      </c>
      <c s="136">
        <v>8001</v>
      </c>
      <c s="138" t="s">
        <v>212</v>
      </c>
      <c s="309">
        <v>1090</v>
      </c>
      <c s="123">
        <v>0.1</v>
      </c>
      <c s="138"/>
      <c r="M38" s="332"/>
    </row>
    <row r="39" customHeight="1">
      <c r="A39" s="138" t="s">
        <v>184</v>
      </c>
      <c s="136">
        <v>8E+3</v>
      </c>
      <c s="138" t="s">
        <v>211</v>
      </c>
      <c s="136">
        <v>8002</v>
      </c>
      <c s="138" t="s">
        <v>213</v>
      </c>
      <c s="309">
        <v>1090</v>
      </c>
      <c s="121">
        <v>0.02</v>
      </c>
      <c s="138"/>
      <c r="M39" s="332"/>
    </row>
    <row r="40" customHeight="1">
      <c r="A40" s="138" t="s">
        <v>184</v>
      </c>
      <c s="136">
        <v>8E+3</v>
      </c>
      <c s="138" t="s">
        <v>211</v>
      </c>
      <c s="136">
        <v>8003</v>
      </c>
      <c s="138" t="s">
        <v>214</v>
      </c>
      <c s="309">
        <v>200</v>
      </c>
      <c s="123">
        <v>0.1</v>
      </c>
      <c s="138"/>
      <c r="M40" s="332"/>
    </row>
    <row r="41" customHeight="1">
      <c r="A41" s="138" t="s">
        <v>184</v>
      </c>
      <c s="78">
        <v>8E+3</v>
      </c>
      <c s="327" t="s">
        <v>211</v>
      </c>
      <c s="78">
        <v>8004</v>
      </c>
      <c s="327" t="s">
        <v>215</v>
      </c>
      <c s="309">
        <v>200</v>
      </c>
      <c s="121">
        <v>0.02</v>
      </c>
      <c s="327"/>
      <c r="M41" s="332"/>
    </row>
    <row r="42" customHeight="1">
      <c r="A42" s="138" t="s">
        <v>184</v>
      </c>
      <c s="78">
        <v>9E+3</v>
      </c>
      <c s="327" t="s">
        <v>216</v>
      </c>
      <c s="78">
        <v>9001</v>
      </c>
      <c s="291" t="s">
        <v>216</v>
      </c>
      <c s="327" t="s">
        <v>217</v>
      </c>
      <c s="122">
        <v>0.1</v>
      </c>
      <c s="327"/>
      <c r="M42" s="332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>
      <pane topLeftCell="A1"/>
      <selection activeCellId="0" activeCell="L27" sqref="L27"/>
    </sheetView>
  </sheetViews>
  <sheetFormatPr defaultColWidth="9" defaultRowHeight="13.5" customHeight="1"/>
  <cols>
    <col min="1" max="1" width="10.13" customWidth="1" style="102"/>
    <col min="2" max="2" width="12.5" customWidth="1" style="102"/>
    <col min="3" max="3" width="9" style="38"/>
    <col min="4" max="4" width="29.25" customWidth="1" style="38"/>
    <col min="5" max="5" width="12.38" customWidth="1" style="38"/>
    <col min="6" max="6" width="9" customWidth="1" style="38"/>
    <col min="7" max="16384" width="9" style="38"/>
  </cols>
  <sheetData>
    <row r="1" customHeight="1">
      <c r="A1" s="211" t="s">
        <v>6</v>
      </c>
      <c s="211" t="s">
        <v>5</v>
      </c>
      <c r="D1" s="126" t="s">
        <v>179</v>
      </c>
      <c s="126" t="s">
        <v>178</v>
      </c>
    </row>
    <row r="2" customHeight="1">
      <c r="A2" s="171" t="s">
        <v>218</v>
      </c>
      <c s="171" t="s">
        <v>219</v>
      </c>
      <c r="D2" s="138" t="s">
        <v>185</v>
      </c>
      <c s="136">
        <v>1E+3</v>
      </c>
    </row>
    <row r="3" customHeight="1">
      <c r="A3" s="171" t="s">
        <v>220</v>
      </c>
      <c s="171" t="s">
        <v>221</v>
      </c>
      <c r="D3" s="138" t="s">
        <v>194</v>
      </c>
      <c s="136">
        <v>2E+3</v>
      </c>
    </row>
    <row r="4" customHeight="1">
      <c r="A4" s="171" t="s">
        <v>222</v>
      </c>
      <c s="171" t="s">
        <v>223</v>
      </c>
      <c r="D4" s="138" t="s">
        <v>202</v>
      </c>
      <c s="136">
        <v>3E+3</v>
      </c>
    </row>
    <row r="5" customHeight="1">
      <c r="A5" s="171" t="s">
        <v>224</v>
      </c>
      <c s="171" t="s">
        <v>225</v>
      </c>
      <c r="D5" s="138" t="s">
        <v>203</v>
      </c>
      <c s="136">
        <v>4E+3</v>
      </c>
    </row>
    <row r="6" customHeight="1">
      <c r="A6" s="171" t="s">
        <v>226</v>
      </c>
      <c s="171" t="s">
        <v>227</v>
      </c>
      <c r="D6" s="138" t="s">
        <v>204</v>
      </c>
      <c s="136">
        <v>5E+3</v>
      </c>
    </row>
    <row r="7" customHeight="1">
      <c r="A7" s="171" t="s">
        <v>228</v>
      </c>
      <c s="171" t="s">
        <v>229</v>
      </c>
      <c r="D7" s="138" t="s">
        <v>205</v>
      </c>
      <c s="136">
        <v>6E+3</v>
      </c>
    </row>
    <row r="8" customHeight="1">
      <c r="A8" s="171" t="s">
        <v>230</v>
      </c>
      <c s="171" t="s">
        <v>184</v>
      </c>
      <c r="D8" s="138" t="s">
        <v>206</v>
      </c>
      <c s="136">
        <v>7E+3</v>
      </c>
    </row>
    <row r="9" customHeight="1">
      <c r="A9" s="452" t="s">
        <v>231</v>
      </c>
      <c s="452" t="s">
        <v>232</v>
      </c>
      <c r="D9" s="327" t="s">
        <v>211</v>
      </c>
      <c s="78">
        <v>8E+3</v>
      </c>
    </row>
    <row r="10" customHeight="1">
      <c r="A10" s="171"/>
      <c s="171"/>
      <c r="D10" s="327" t="s">
        <v>216</v>
      </c>
      <c s="78">
        <v>9E+3</v>
      </c>
    </row>
    <row r="11" customHeight="1">
      <c r="A11" s="171"/>
      <c s="171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>
      <pane topLeftCell="A1"/>
      <selection activeCellId="0" activeCell="F46" sqref="F46"/>
    </sheetView>
  </sheetViews>
  <sheetFormatPr defaultColWidth="9" defaultRowHeight="13.5" customHeight="1"/>
  <cols>
    <col min="1" max="1" width="23.75" customWidth="1" style="38"/>
    <col min="2" max="2" width="49" customWidth="1" style="38"/>
    <col min="3" max="3" width="12" customWidth="1" style="38"/>
    <col min="4" max="16384" width="9" style="38"/>
  </cols>
  <sheetData>
    <row r="1" customHeight="1">
      <c r="A1" s="129" t="s">
        <v>233</v>
      </c>
      <c s="129" t="s">
        <v>234</v>
      </c>
      <c s="129" t="s">
        <v>235</v>
      </c>
      <c s="129" t="s">
        <v>236</v>
      </c>
      <c s="129" t="s">
        <v>237</v>
      </c>
    </row>
    <row r="2" customHeight="1">
      <c r="A2" s="116" t="str">
        <f ca="1" ref="A2:A18" t="shared" si="0">MID(_xlfn.SINGLE(CELL("filename")),FIND("[",_xlfn.SINGLE(CELL("filename")),1)+1,FIND(".",_xlfn.SINGLE(CELL("filename")),1)-FIND("[",_xlfn.SINGLE(CELL("filename")),1)-1)</f>
        <v>34U1704-01-0023</v>
      </c>
      <c s="113" t="s">
        <v>238</v>
      </c>
      <c s="116"/>
      <c s="116"/>
      <c s="116"/>
    </row>
    <row r="3" customHeight="1">
      <c r="A3" s="116" t="str">
        <f ca="1" t="shared" si="0"/>
        <v>34U1704-01-0023</v>
      </c>
      <c s="113" t="s">
        <v>239</v>
      </c>
      <c s="116"/>
      <c s="116"/>
      <c s="116"/>
    </row>
    <row r="4" customHeight="1">
      <c r="A4" s="116" t="str">
        <f ca="1" t="shared" si="0"/>
        <v>34U1704-01-0023</v>
      </c>
      <c s="113" t="s">
        <v>240</v>
      </c>
      <c s="116"/>
      <c s="116"/>
      <c s="116"/>
    </row>
    <row r="5" customHeight="1">
      <c r="A5" s="116" t="str">
        <f ca="1" t="shared" si="0"/>
        <v>34U1704-01-0023</v>
      </c>
      <c s="113" t="s">
        <v>241</v>
      </c>
      <c s="116"/>
      <c s="116"/>
      <c s="116"/>
    </row>
    <row r="6" customHeight="1">
      <c r="A6" s="116" t="str">
        <f ca="1" t="shared" si="0"/>
        <v>34U1704-01-0023</v>
      </c>
      <c s="113" t="s">
        <v>242</v>
      </c>
      <c s="116"/>
      <c s="116"/>
      <c s="116"/>
    </row>
    <row r="7" customHeight="1">
      <c r="A7" s="116" t="str">
        <f ca="1" t="shared" si="0"/>
        <v>34U1704-01-0023</v>
      </c>
      <c s="113" t="s">
        <v>243</v>
      </c>
      <c s="116"/>
      <c s="116"/>
      <c s="116"/>
    </row>
    <row r="8" customHeight="1">
      <c r="A8" s="116" t="str">
        <f ca="1" t="shared" si="0"/>
        <v>34U1704-01-0023</v>
      </c>
      <c s="113" t="s">
        <v>244</v>
      </c>
      <c s="116"/>
      <c s="116"/>
      <c s="116"/>
    </row>
    <row r="9" customHeight="1">
      <c r="A9" s="116" t="str">
        <f ca="1" t="shared" si="0"/>
        <v>34U1704-01-0023</v>
      </c>
      <c s="113" t="s">
        <v>245</v>
      </c>
      <c s="116"/>
      <c s="116"/>
      <c s="116"/>
    </row>
    <row r="10" customHeight="1">
      <c r="A10" s="116" t="str">
        <f ca="1" t="shared" si="0"/>
        <v>34U1704-01-0023</v>
      </c>
      <c s="113" t="s">
        <v>246</v>
      </c>
      <c s="116"/>
      <c s="99">
        <v>1001</v>
      </c>
      <c s="99">
        <v>1001</v>
      </c>
    </row>
    <row r="11" customHeight="1">
      <c r="A11" s="116" t="str">
        <f ca="1" t="shared" si="0"/>
        <v>34U1704-01-0023</v>
      </c>
      <c s="113" t="s">
        <v>247</v>
      </c>
      <c s="116"/>
      <c s="99">
        <v>1002</v>
      </c>
      <c s="99">
        <v>1002</v>
      </c>
    </row>
    <row r="12" customHeight="1">
      <c r="A12" s="116" t="str">
        <f ca="1" t="shared" si="0"/>
        <v>34U1704-01-0023</v>
      </c>
      <c s="113" t="s">
        <v>248</v>
      </c>
      <c s="116"/>
      <c s="99">
        <v>2001</v>
      </c>
      <c s="99">
        <v>2001</v>
      </c>
    </row>
    <row r="13" customHeight="1">
      <c r="A13" s="116" t="str">
        <f ca="1" t="shared" si="0"/>
        <v>34U1704-01-0023</v>
      </c>
      <c s="113" t="s">
        <v>249</v>
      </c>
      <c s="116"/>
      <c s="99">
        <v>2002</v>
      </c>
      <c s="99">
        <v>2001</v>
      </c>
    </row>
    <row r="14" customHeight="1">
      <c r="A14" s="116" t="str">
        <f ca="1" t="shared" si="0"/>
        <v>34U1704-01-0023</v>
      </c>
      <c s="113" t="s">
        <v>250</v>
      </c>
      <c s="116"/>
      <c s="99">
        <v>2003</v>
      </c>
      <c s="99">
        <v>2001</v>
      </c>
    </row>
    <row r="15" customHeight="1">
      <c r="A15" s="116" t="str">
        <f ca="1" t="shared" si="0"/>
        <v>34U1704-01-0023</v>
      </c>
      <c s="113" t="s">
        <v>251</v>
      </c>
      <c s="116"/>
      <c s="99">
        <v>2004</v>
      </c>
      <c s="99">
        <v>2001</v>
      </c>
    </row>
    <row r="16" customHeight="1">
      <c r="A16" s="116" t="str">
        <f ca="1" t="shared" si="0"/>
        <v>34U1704-01-0023</v>
      </c>
      <c s="113" t="s">
        <v>252</v>
      </c>
      <c s="116"/>
      <c s="99">
        <v>3001</v>
      </c>
      <c s="99">
        <v>3001</v>
      </c>
    </row>
    <row r="17" customHeight="1">
      <c r="A17" s="116" t="str">
        <f ca="1" t="shared" si="0"/>
        <v>34U1704-01-0023</v>
      </c>
      <c s="113" t="s">
        <v>253</v>
      </c>
      <c s="116"/>
      <c s="99">
        <v>3002</v>
      </c>
      <c s="99">
        <v>3002</v>
      </c>
    </row>
    <row r="18" customHeight="1">
      <c r="A18" s="116" t="str">
        <f ca="1" t="shared" si="0"/>
        <v>34U1704-01-0023</v>
      </c>
      <c s="103" t="s">
        <v>254</v>
      </c>
      <c s="116"/>
      <c s="99">
        <v>4001</v>
      </c>
      <c s="99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"/>
  <sheetViews>
    <sheetView topLeftCell="A1" workbookViewId="0">
      <pane topLeftCell="A1"/>
      <selection activeCellId="0" activeCell="A9" sqref="A9"/>
    </sheetView>
  </sheetViews>
  <sheetFormatPr defaultColWidth="9" defaultRowHeight="13.5" customHeight="1"/>
  <cols>
    <col min="1" max="1" width="35.75" customWidth="1" style="38"/>
    <col min="2" max="16384" width="9" style="38"/>
  </cols>
  <sheetData>
    <row r="1" ht="189.75" customHeight="1">
      <c r="A1" s="137"/>
    </row>
  </sheetData>
  <printOptions/>
  <pageMargins left="0.7" right="0.7" top="0.75" bottom="0.75" header="0.3" footer="0.3"/>
  <pageSetup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B28"/>
  <sheetViews>
    <sheetView topLeftCell="A1" workbookViewId="0" zoomScale="70" showGridLines="0" zoomScaleNormal="70">
      <pane topLeftCell="A1"/>
      <selection activeCellId="0" activeCell="M2" sqref="M2:M28"/>
    </sheetView>
  </sheetViews>
  <sheetFormatPr defaultColWidth="8.88" defaultRowHeight="13.5" customHeight="1"/>
  <cols>
    <col min="1" max="1" width="29.25" customWidth="1" style="83"/>
    <col min="2" max="2" width="18.38" customWidth="1" style="84"/>
    <col min="3" max="3" width="21.5" customWidth="1" style="84"/>
    <col min="4" max="4" width="40" customWidth="1" style="84"/>
    <col min="5" max="5" width="46.5" customWidth="1" style="84"/>
    <col min="6" max="6" width="8.88" style="84"/>
    <col min="7" max="7" width="10.5" customWidth="1" style="84"/>
    <col min="8" max="8" width="20.13" customWidth="1" style="84"/>
    <col min="9" max="9" width="79.5" customWidth="1" hidden="1" style="84"/>
    <col min="10" max="10" width="15.38" customWidth="1" style="84"/>
    <col min="11" max="11" width="11.5" customWidth="1" style="84"/>
    <col min="12" max="12" width="9.63" customWidth="1" style="84"/>
    <col min="13" max="13" width="8.5" customWidth="1" style="84"/>
    <col min="14" max="14" width="9.88" customWidth="1" style="84"/>
    <col min="15" max="15" width="10" customWidth="1" style="84"/>
    <col min="16" max="16" width="9.63" customWidth="1" style="84"/>
    <col min="17" max="17" width="8.5" customWidth="1" style="84"/>
    <col min="18" max="18" width="9.13" customWidth="1" style="84"/>
    <col min="19" max="19" width="9.5" customWidth="1" style="84"/>
    <col min="20" max="21" width="9.63" customWidth="1" style="84"/>
    <col min="22" max="22" width="18" customWidth="1" style="84"/>
    <col min="23" max="23" width="12.38" customWidth="1" style="84"/>
    <col min="24" max="24" width="18.5" customWidth="1" style="84"/>
    <col min="25" max="25" width="19.38" customWidth="1" style="84"/>
    <col min="26" max="26" width="15.13" customWidth="1" hidden="1" style="85"/>
    <col min="27" max="27" width="11.63" customWidth="1" style="85"/>
    <col min="28" max="28" width="26.25" customWidth="1" style="86"/>
    <col min="29" max="16384" width="8.88" style="84"/>
  </cols>
  <sheetData>
    <row r="1" ht="40.5" customFormat="1" s="87">
      <c r="A1" s="131" t="s">
        <v>255</v>
      </c>
      <c s="131" t="s">
        <v>256</v>
      </c>
      <c s="131" t="s">
        <v>257</v>
      </c>
      <c s="131" t="s">
        <v>258</v>
      </c>
      <c s="131" t="s">
        <v>259</v>
      </c>
      <c s="131" t="s">
        <v>132</v>
      </c>
      <c s="131" t="s">
        <v>260</v>
      </c>
      <c s="131" t="s">
        <v>124</v>
      </c>
      <c s="211" t="s">
        <v>261</v>
      </c>
      <c s="131" t="s">
        <v>261</v>
      </c>
      <c s="315" t="s">
        <v>127</v>
      </c>
      <c s="315" t="s">
        <v>262</v>
      </c>
      <c s="315" t="s">
        <v>130</v>
      </c>
      <c s="315" t="s">
        <v>263</v>
      </c>
      <c s="315" t="s">
        <v>264</v>
      </c>
      <c s="315" t="s">
        <v>265</v>
      </c>
      <c s="315" t="s">
        <v>135</v>
      </c>
      <c s="315" t="s">
        <v>67</v>
      </c>
      <c s="315" t="s">
        <v>266</v>
      </c>
      <c s="315" t="s">
        <v>267</v>
      </c>
      <c s="315" t="s">
        <v>136</v>
      </c>
      <c s="131" t="s">
        <v>126</v>
      </c>
      <c s="131" t="s">
        <v>268</v>
      </c>
      <c s="131" t="s">
        <v>269</v>
      </c>
      <c s="131" t="s">
        <v>270</v>
      </c>
      <c s="131" t="s">
        <v>178</v>
      </c>
      <c s="131" t="s">
        <v>180</v>
      </c>
      <c s="130" t="s">
        <v>125</v>
      </c>
    </row>
    <row r="2" ht="44.25" customHeight="1">
      <c r="A2" s="177" t="s">
        <v>185</v>
      </c>
      <c s="177" t="s">
        <v>271</v>
      </c>
      <c s="329"/>
      <c s="177" t="str">
        <f>_xlfn.SINGLE(IF(L2="","",'字段对应'!$B$10&amp;"="&amp;VLOOKUP(L2,'基础信息'!$I$2:$J$6,2,0)&amp;";"))&amp;_xlfn.SINGLE(IF(M2="","",'字段对应'!$B$11&amp;"="&amp;VLOOKUP(M2,'基础信息'!$K$2:$L$6,2,0)&amp;";"))&amp;_xlfn.SINGLE(IF(N2="","",'字段对应'!$C$2&amp;"="&amp;N2&amp;","&amp;O2&amp;","&amp;P2&amp;";"))&amp;_xlfn.SINGLE(IF(Q2="","",'字段对应'!$B$13&amp;"="&amp;Q2&amp;";"))&amp;_xlfn.SINGLE(IF(R2="","",'字段对应'!$B$14&amp;"="&amp;R2&amp;";"))&amp;_xlfn.SINGLE(IF(U2="","",'字段对应'!$B$22&amp;"="&amp;U2&amp;";"))&amp;_xlfn.SINGLE(IF(K2="","",'字段对应'!$B$21&amp;"="&amp;VLOOKUP(K2,'基础信息'!$F$2:$G$4,2,0)))</f>
        <v>PhotoMode=2;ScanSpeed=2;WlRange=660,650,0.02;Gain=4;Slit1=2.0;LampPos=1</v>
      </c>
      <c s="177" t="str">
        <f>_xlfn.SINGLE(IF(W2="","",'检测项信息'!W2&amp;":"&amp;'字段对应'!$B$16&amp;"|"))&amp;IF(X2="","",X2&amp;":"&amp;IF(V2="是",'字段对应'!$C$17,'字段对应'!$B$17&amp;";"&amp;_xlfn.SINGLE(IF(H2="","",'字段对应'!$B$15&amp;"="&amp;'检测项信息'!H2)))&amp;"|")&amp;_xlfn.SINGLE(IF(Y2="",":",Y2&amp;":"))&amp;IF(V2="是",'字段对应'!$C$18,'字段对应'!$B$18&amp;";"&amp;_xlfn.SINGLE(IF(H2="","",'字段对应'!$B$15&amp;"="&amp;'检测项信息'!H2))&amp;_xlfn.SINGLE(IF(AND(T2="",S2=""),"",";"&amp;'字段对应'!$B$20&amp;"="&amp;T2&amp;";"&amp;'字段对应'!$B$19&amp;"="&amp;S2)))</f>
        <v>空气:Scan</v>
      </c>
      <c s="189">
        <v>3</v>
      </c>
      <c s="189">
        <v>1</v>
      </c>
      <c s="177" t="s">
        <v>186</v>
      </c>
      <c s="177" t="str">
        <f>VLOOKUP(J2,'字段对应'!$D$2:$E$8,2,0)</f>
        <v>Validation.ViewModel.DataStructure.FindPeakAndAverageUVTestTool</v>
      </c>
      <c s="177" t="s">
        <v>272</v>
      </c>
      <c s="117" t="s">
        <v>25</v>
      </c>
      <c s="117" t="s">
        <v>149</v>
      </c>
      <c s="117" t="s">
        <v>150</v>
      </c>
      <c s="331">
        <v>660</v>
      </c>
      <c s="331">
        <v>650</v>
      </c>
      <c s="331">
        <v>0.02</v>
      </c>
      <c s="331">
        <v>4</v>
      </c>
      <c s="117" t="s">
        <v>155</v>
      </c>
      <c s="117"/>
      <c s="117"/>
      <c s="117"/>
      <c s="177" t="s">
        <v>137</v>
      </c>
      <c s="177"/>
      <c s="177"/>
      <c s="177" t="s">
        <v>273</v>
      </c>
      <c s="189">
        <f>VLOOKUP(A2,'对应信息'!$D$2:$E$10,2,0)</f>
        <v>1E+3</v>
      </c>
      <c s="189">
        <f ref="AA2:AA11" t="shared" si="0">IF(Z1=Z2,AA1+1,Z2+1)</f>
        <v>1001</v>
      </c>
      <c s="96"/>
    </row>
    <row r="3" ht="44.25" customHeight="1">
      <c r="A3" s="177" t="s">
        <v>185</v>
      </c>
      <c s="177" t="s">
        <v>274</v>
      </c>
      <c s="329"/>
      <c s="177" t="str">
        <f>_xlfn.SINGLE(IF(L3="","",'字段对应'!$B$10&amp;"="&amp;VLOOKUP(L3,'基础信息'!$I$2:$J$6,2,0)&amp;";"))&amp;_xlfn.SINGLE(IF(M3="","",'字段对应'!$B$11&amp;"="&amp;VLOOKUP(M3,'基础信息'!$K$2:$L$6,2,0)&amp;";"))&amp;_xlfn.SINGLE(IF(N3="","",'字段对应'!$C$2&amp;"="&amp;N3&amp;","&amp;O3&amp;","&amp;P3&amp;";"))&amp;_xlfn.SINGLE(IF(Q3="","",'字段对应'!$B$13&amp;"="&amp;Q3&amp;";"))&amp;_xlfn.SINGLE(IF(R3="","",'字段对应'!$B$14&amp;"="&amp;R3&amp;";"))&amp;_xlfn.SINGLE(IF(U3="","",'字段对应'!$B$22&amp;"="&amp;U3&amp;";"))&amp;_xlfn.SINGLE(IF(K3="","",'字段对应'!$B$21&amp;"="&amp;VLOOKUP(K3,'基础信息'!$F$2:$G$4,2,0)))</f>
        <v>PhotoMode=2;ScanSpeed=2;WlRange=490,480,0.02;Gain=4;Slit1=2.0;LampPos=1</v>
      </c>
      <c s="177" t="str">
        <f>_xlfn.SINGLE(IF(W3="","",'检测项信息'!W3&amp;":"&amp;'字段对应'!$B$16&amp;"|"))&amp;IF(X3="","",X3&amp;":"&amp;IF(V3="是",'字段对应'!$C$17,'字段对应'!$B$17&amp;";"&amp;_xlfn.SINGLE(IF(H3="","",'字段对应'!$B$15&amp;"="&amp;'检测项信息'!H3)))&amp;"|")&amp;_xlfn.SINGLE(IF(Y3="",":",Y3&amp;":"))&amp;IF(V3="是",'字段对应'!$C$18,'字段对应'!$B$18&amp;";"&amp;_xlfn.SINGLE(IF(H3="","",'字段对应'!$B$15&amp;"="&amp;'检测项信息'!H3))&amp;_xlfn.SINGLE(IF(AND(T3="",S3=""),"",";"&amp;'字段对应'!$B$20&amp;"="&amp;T3&amp;";"&amp;'字段对应'!$B$19&amp;"="&amp;S3)))</f>
        <v>空气:Scan</v>
      </c>
      <c s="189">
        <v>3</v>
      </c>
      <c s="189">
        <v>1</v>
      </c>
      <c s="189">
        <v>486</v>
      </c>
      <c s="177" t="str">
        <f>VLOOKUP(J3,'字段对应'!$D$2:$E$8,2,0)</f>
        <v>Validation.ViewModel.DataStructure.FindPeakAndAverageUVTestTool</v>
      </c>
      <c s="177" t="s">
        <v>272</v>
      </c>
      <c s="117" t="s">
        <v>25</v>
      </c>
      <c s="117" t="s">
        <v>149</v>
      </c>
      <c s="117" t="s">
        <v>150</v>
      </c>
      <c s="331">
        <v>490</v>
      </c>
      <c s="331">
        <v>480</v>
      </c>
      <c s="331">
        <v>0.02</v>
      </c>
      <c s="331">
        <v>4</v>
      </c>
      <c s="117" t="s">
        <v>155</v>
      </c>
      <c s="117"/>
      <c s="117"/>
      <c s="117"/>
      <c s="177" t="s">
        <v>137</v>
      </c>
      <c s="177"/>
      <c s="177"/>
      <c s="177" t="s">
        <v>273</v>
      </c>
      <c s="189">
        <f>VLOOKUP(A3,'对应信息'!$D$2:$E$10,2,0)</f>
        <v>1E+3</v>
      </c>
      <c s="189">
        <f t="shared" si="0"/>
        <v>1002</v>
      </c>
      <c s="96"/>
    </row>
    <row r="4" ht="47.25" customHeight="1">
      <c r="A4" s="177" t="s">
        <v>185</v>
      </c>
      <c s="177" t="s">
        <v>24</v>
      </c>
      <c s="177"/>
      <c s="177" t="str">
        <f>_xlfn.SINGLE(IF(L4="","",'字段对应'!$B$10&amp;"="&amp;VLOOKUP(L4,'基础信息'!$I$2:$J$6,2,0)&amp;";"))&amp;_xlfn.SINGLE(IF(M4="","",'字段对应'!$B$11&amp;"="&amp;VLOOKUP(M4,'基础信息'!$K$2:$L$6,2,0)&amp;";"))&amp;_xlfn.SINGLE(IF(N4="","",'字段对应'!$C$2&amp;"="&amp;N4&amp;","&amp;O4&amp;","&amp;P4&amp;";"))&amp;_xlfn.SINGLE(IF(Q4="","",'字段对应'!$B$13&amp;"="&amp;Q4&amp;";"))&amp;_xlfn.SINGLE(IF(R4="","",'字段对应'!$B$14&amp;"="&amp;R4&amp;";"))&amp;_xlfn.SINGLE(IF(U4="","",'字段对应'!$B$22&amp;"="&amp;U4&amp;";"))&amp;_xlfn.SINGLE(IF(K4="","",'字段对应'!$B$21&amp;"="&amp;VLOOKUP(K4,'基础信息'!$F$2:$G$4,2,0)))</f>
        <v>PhotoMode=0;ScanSpeed=2;WlRange=810,800,0.1;Slit1=2.0;</v>
      </c>
      <c s="177" t="str">
        <f>_xlfn.SINGLE(IF(W4="","",'检测项信息'!W4&amp;":"&amp;'字段对应'!$B$16&amp;"|"))&amp;IF(X4="","",X4&amp;":"&amp;IF(V4="是",'字段对应'!$C$17,'字段对应'!$B$17&amp;";"&amp;_xlfn.SINGLE(IF(H4="","",'字段对应'!$B$15&amp;"="&amp;'检测项信息'!H4)))&amp;"|")&amp;_xlfn.SINGLE(IF(Y4="",":",Y4&amp;":"))&amp;IF(V4="是",'字段对应'!$C$18,'字段对应'!$B$18&amp;";"&amp;_xlfn.SINGLE(IF(H4="","",'字段对应'!$B$15&amp;"="&amp;'检测项信息'!H4))&amp;_xlfn.SINGLE(IF(AND(T4="",S4=""),"",";"&amp;'字段对应'!$B$20&amp;"="&amp;T4&amp;";"&amp;'字段对应'!$B$19&amp;"="&amp;S4)))</f>
        <v>黑挡块:Dark|空气:BaseLine|镨钕滤光片:Scan</v>
      </c>
      <c s="189">
        <v>3</v>
      </c>
      <c s="189">
        <v>1</v>
      </c>
      <c s="177" t="s">
        <v>187</v>
      </c>
      <c s="177" t="str">
        <f>VLOOKUP(J4,'字段对应'!$D$2:$E$8,2,0)</f>
        <v>Validation.ViewModel.DataStructure.FindPeakAndAverageUVTestTool</v>
      </c>
      <c s="177" t="s">
        <v>272</v>
      </c>
      <c s="117"/>
      <c s="117" t="s">
        <v>139</v>
      </c>
      <c s="117" t="s">
        <v>150</v>
      </c>
      <c s="331">
        <v>810</v>
      </c>
      <c s="331">
        <v>800</v>
      </c>
      <c s="331">
        <v>0.1</v>
      </c>
      <c s="117"/>
      <c s="117" t="s">
        <v>155</v>
      </c>
      <c s="117"/>
      <c s="117"/>
      <c s="117"/>
      <c s="177" t="s">
        <v>137</v>
      </c>
      <c s="177" t="s">
        <v>275</v>
      </c>
      <c s="177" t="s">
        <v>273</v>
      </c>
      <c s="177" t="s">
        <v>24</v>
      </c>
      <c s="189">
        <f>VLOOKUP(A4,'对应信息'!$D$2:$E$10,2,0)</f>
        <v>1E+3</v>
      </c>
      <c s="189">
        <f t="shared" si="0"/>
        <v>1003</v>
      </c>
      <c s="96"/>
    </row>
    <row r="5" ht="44.25" customHeight="1">
      <c r="A5" s="177" t="s">
        <v>185</v>
      </c>
      <c s="177" t="s">
        <v>33</v>
      </c>
      <c s="177"/>
      <c s="177" t="str">
        <f>_xlfn.SINGLE(IF(L5="","",'字段对应'!$B$10&amp;"="&amp;VLOOKUP(L5,'基础信息'!$I$2:$J$6,2,0)&amp;";"))&amp;_xlfn.SINGLE(IF(M5="","",'字段对应'!$B$11&amp;"="&amp;VLOOKUP(M5,'基础信息'!$K$2:$L$6,2,0)&amp;";"))&amp;_xlfn.SINGLE(IF(N5="","",'字段对应'!$C$2&amp;"="&amp;N5&amp;","&amp;O5&amp;","&amp;P5&amp;";"))&amp;_xlfn.SINGLE(IF(Q5="","",'字段对应'!$B$13&amp;"="&amp;Q5&amp;";"))&amp;_xlfn.SINGLE(IF(R5="","",'字段对应'!$B$14&amp;"="&amp;R5&amp;";"))&amp;_xlfn.SINGLE(IF(U5="","",'字段对应'!$B$22&amp;"="&amp;U5&amp;";"))&amp;_xlfn.SINGLE(IF(K5="","",'字段对应'!$B$21&amp;"="&amp;VLOOKUP(K5,'基础信息'!$F$2:$G$4,2,0)))</f>
        <v>PhotoMode=0;ScanSpeed=2;WlRange=645,235,0.1;Slit1=2.0;</v>
      </c>
      <c s="177" t="str">
        <f>_xlfn.SINGLE(IF(W5="","",'检测项信息'!W5&amp;":"&amp;'字段对应'!$B$16&amp;"|"))&amp;IF(X5="","",X5&amp;":"&amp;IF(V5="是",'字段对应'!$C$17,'字段对应'!$B$17&amp;";"&amp;_xlfn.SINGLE(IF(H5="","",'字段对应'!$B$15&amp;"="&amp;'检测项信息'!H5)))&amp;"|")&amp;_xlfn.SINGLE(IF(Y5="",":",Y5&amp;":"))&amp;IF(V5="是",'字段对应'!$C$18,'字段对应'!$B$18&amp;";"&amp;_xlfn.SINGLE(IF(H5="","",'字段对应'!$B$15&amp;"="&amp;'检测项信息'!H5))&amp;_xlfn.SINGLE(IF(AND(T5="",S5=""),"",";"&amp;'字段对应'!$B$20&amp;"="&amp;T5&amp;";"&amp;'字段对应'!$B$19&amp;"="&amp;S5)))</f>
        <v>黑挡块:Dark|空气:BaseLine|钬溶液:Scan</v>
      </c>
      <c s="189">
        <v>3</v>
      </c>
      <c s="189">
        <v>1</v>
      </c>
      <c s="177" t="s">
        <v>276</v>
      </c>
      <c s="177" t="str">
        <f>VLOOKUP(J5,'字段对应'!$D$2:$E$8,2,0)</f>
        <v>Validation.ViewModel.DataStructure.FindPeakAndAverageUVTestTool</v>
      </c>
      <c s="177" t="s">
        <v>272</v>
      </c>
      <c s="117"/>
      <c s="117" t="s">
        <v>139</v>
      </c>
      <c s="117" t="s">
        <v>150</v>
      </c>
      <c s="331">
        <v>645</v>
      </c>
      <c s="331">
        <v>235</v>
      </c>
      <c s="331">
        <v>0.1</v>
      </c>
      <c s="117"/>
      <c s="117" t="s">
        <v>155</v>
      </c>
      <c s="117"/>
      <c s="117"/>
      <c s="117"/>
      <c s="177" t="s">
        <v>137</v>
      </c>
      <c s="177" t="s">
        <v>275</v>
      </c>
      <c s="177" t="s">
        <v>273</v>
      </c>
      <c s="177" t="s">
        <v>33</v>
      </c>
      <c s="189">
        <f>VLOOKUP(A5,'对应信息'!$D$2:$E$10,2,0)</f>
        <v>1E+3</v>
      </c>
      <c s="189">
        <f t="shared" si="0"/>
        <v>1004</v>
      </c>
      <c s="96"/>
    </row>
    <row r="6" ht="27">
      <c r="A6" s="125" t="s">
        <v>205</v>
      </c>
      <c s="177" t="s">
        <v>70</v>
      </c>
      <c s="177"/>
      <c s="177" t="str">
        <f>_xlfn.SINGLE(IF(L6="","",'字段对应'!$B$10&amp;"="&amp;VLOOKUP(L6,'基础信息'!$I$2:$J$6,2,0)&amp;";"))&amp;_xlfn.SINGLE(IF(M6="","",'字段对应'!$B$11&amp;"="&amp;VLOOKUP(M6,'基础信息'!$K$2:$L$6,2,0)&amp;";"))&amp;_xlfn.SINGLE(IF(N6="","",'字段对应'!$C$2&amp;"="&amp;N6&amp;","&amp;O6&amp;","&amp;P6&amp;";"))&amp;_xlfn.SINGLE(IF(Q6="","",'字段对应'!$B$13&amp;"="&amp;Q6&amp;";"))&amp;_xlfn.SINGLE(IF(R6="","",'字段对应'!$B$14&amp;"="&amp;R6&amp;";"))&amp;_xlfn.SINGLE(IF(U6="","",'字段对应'!$B$22&amp;"="&amp;U6&amp;";"))&amp;_xlfn.SINGLE(IF(K6="","",'字段对应'!$B$21&amp;"="&amp;VLOOKUP(K6,'基础信息'!$F$2:$G$4,2,0)))</f>
        <v>PhotoMode=2;ScanSpeed=2;WlRange=662,650,0.1;Gain=4;Slit1=5.0;LampPos=1</v>
      </c>
      <c s="177" t="str">
        <f>_xlfn.SINGLE(IF(W6="","",'检测项信息'!W6&amp;":"&amp;'字段对应'!$B$16&amp;"|"))&amp;IF(X6="","",X6&amp;":"&amp;IF(V6="是",'字段对应'!$C$17,'字段对应'!$B$17&amp;";"&amp;_xlfn.SINGLE(IF(H6="","",'字段对应'!$B$15&amp;"="&amp;'检测项信息'!H6)))&amp;"|")&amp;_xlfn.SINGLE(IF(Y6="",":",Y6&amp;":"))&amp;IF(V6="是",'字段对应'!$C$18,'字段对应'!$B$18&amp;";"&amp;_xlfn.SINGLE(IF(H6="","",'字段对应'!$B$15&amp;"="&amp;'检测项信息'!H6))&amp;_xlfn.SINGLE(IF(AND(T6="",S6=""),"",";"&amp;'字段对应'!$B$20&amp;"="&amp;T6&amp;";"&amp;'字段对应'!$B$19&amp;"="&amp;S6)))</f>
        <v>空气:Scan</v>
      </c>
      <c s="189">
        <v>1</v>
      </c>
      <c s="177"/>
      <c s="189">
        <v>656.1</v>
      </c>
      <c s="177" t="str">
        <f>VLOOKUP(J6,'字段对应'!$D$2:$E$8,2,0)</f>
        <v>Validation.ViewModel.DataStructure.FindHalfPeakUVTestTool</v>
      </c>
      <c s="177" t="s">
        <v>277</v>
      </c>
      <c s="117" t="s">
        <v>25</v>
      </c>
      <c s="117" t="s">
        <v>149</v>
      </c>
      <c s="117" t="s">
        <v>150</v>
      </c>
      <c s="331">
        <v>662</v>
      </c>
      <c s="331">
        <v>650</v>
      </c>
      <c s="331">
        <v>0.1</v>
      </c>
      <c s="331">
        <v>4</v>
      </c>
      <c s="117" t="s">
        <v>159</v>
      </c>
      <c s="117"/>
      <c s="117"/>
      <c s="117"/>
      <c s="177" t="s">
        <v>137</v>
      </c>
      <c s="177"/>
      <c s="177"/>
      <c s="177" t="s">
        <v>273</v>
      </c>
      <c s="189">
        <f>VLOOKUP(A6,'对应信息'!$D$2:$E$10,2,0)</f>
        <v>6E+3</v>
      </c>
      <c s="189">
        <f t="shared" si="0"/>
        <v>6001</v>
      </c>
      <c s="96" t="s">
        <v>159</v>
      </c>
    </row>
    <row r="7" ht="27">
      <c r="A7" s="125" t="s">
        <v>205</v>
      </c>
      <c s="177" t="s">
        <v>71</v>
      </c>
      <c s="177"/>
      <c s="177" t="str">
        <f>_xlfn.SINGLE(IF(L7="","",'字段对应'!$B$10&amp;"="&amp;VLOOKUP(L7,'基础信息'!$I$2:$J$6,2,0)&amp;";"))&amp;_xlfn.SINGLE(IF(M7="","",'字段对应'!$B$11&amp;"="&amp;VLOOKUP(M7,'基础信息'!$K$2:$L$6,2,0)&amp;";"))&amp;_xlfn.SINGLE(IF(N7="","",'字段对应'!$C$2&amp;"="&amp;N7&amp;","&amp;O7&amp;","&amp;P7&amp;";"))&amp;_xlfn.SINGLE(IF(Q7="","",'字段对应'!$B$13&amp;"="&amp;Q7&amp;";"))&amp;_xlfn.SINGLE(IF(R7="","",'字段对应'!$B$14&amp;"="&amp;R7&amp;";"))&amp;_xlfn.SINGLE(IF(U7="","",'字段对应'!$B$22&amp;"="&amp;U7&amp;";"))&amp;_xlfn.SINGLE(IF(K7="","",'字段对应'!$B$21&amp;"="&amp;VLOOKUP(K7,'基础信息'!$F$2:$G$4,2,0)))</f>
        <v>PhotoMode=2;ScanSpeed=2;WlRange=660,650,0.1;Gain=4;Slit1=2.0;LampPos=1</v>
      </c>
      <c s="177" t="str">
        <f>_xlfn.SINGLE(IF(W7="","",'检测项信息'!W7&amp;":"&amp;'字段对应'!$B$16&amp;"|"))&amp;IF(X7="","",X7&amp;":"&amp;IF(V7="是",'字段对应'!$C$17,'字段对应'!$B$17&amp;";"&amp;_xlfn.SINGLE(IF(H7="","",'字段对应'!$B$15&amp;"="&amp;'检测项信息'!H7)))&amp;"|")&amp;_xlfn.SINGLE(IF(Y7="",":",Y7&amp;":"))&amp;IF(V7="是",'字段对应'!$C$18,'字段对应'!$B$18&amp;";"&amp;_xlfn.SINGLE(IF(H7="","",'字段对应'!$B$15&amp;"="&amp;'检测项信息'!H7))&amp;_xlfn.SINGLE(IF(AND(T7="",S7=""),"",";"&amp;'字段对应'!$B$20&amp;"="&amp;T7&amp;";"&amp;'字段对应'!$B$19&amp;"="&amp;S7)))</f>
        <v>空气:Scan</v>
      </c>
      <c s="189">
        <v>1</v>
      </c>
      <c s="177"/>
      <c s="189">
        <v>656.1</v>
      </c>
      <c s="177" t="str">
        <f>VLOOKUP(J7,'字段对应'!$D$2:$E$8,2,0)</f>
        <v>Validation.ViewModel.DataStructure.FindHalfPeakUVTestTool</v>
      </c>
      <c s="177" t="s">
        <v>277</v>
      </c>
      <c s="117" t="s">
        <v>25</v>
      </c>
      <c s="117" t="s">
        <v>149</v>
      </c>
      <c s="117" t="s">
        <v>150</v>
      </c>
      <c s="331">
        <v>660</v>
      </c>
      <c s="331">
        <v>650</v>
      </c>
      <c s="331">
        <v>0.1</v>
      </c>
      <c s="331">
        <v>4</v>
      </c>
      <c s="117" t="s">
        <v>155</v>
      </c>
      <c s="117"/>
      <c s="117"/>
      <c s="117"/>
      <c s="177" t="s">
        <v>137</v>
      </c>
      <c s="177"/>
      <c s="177"/>
      <c s="177" t="s">
        <v>273</v>
      </c>
      <c s="189">
        <f>VLOOKUP(A7,'对应信息'!$D$2:$E$10,2,0)</f>
        <v>6E+3</v>
      </c>
      <c s="189">
        <f t="shared" si="0"/>
        <v>6002</v>
      </c>
      <c s="96" t="s">
        <v>155</v>
      </c>
    </row>
    <row r="8" ht="27">
      <c r="A8" s="125" t="s">
        <v>205</v>
      </c>
      <c s="177" t="s">
        <v>72</v>
      </c>
      <c s="177"/>
      <c s="177" t="str">
        <f>_xlfn.SINGLE(IF(L8="","",'字段对应'!$B$10&amp;"="&amp;VLOOKUP(L8,'基础信息'!$I$2:$J$6,2,0)&amp;";"))&amp;_xlfn.SINGLE(IF(M8="","",'字段对应'!$B$11&amp;"="&amp;VLOOKUP(M8,'基础信息'!$K$2:$L$6,2,0)&amp;";"))&amp;_xlfn.SINGLE(IF(N8="","",'字段对应'!$C$2&amp;"="&amp;N8&amp;","&amp;O8&amp;","&amp;P8&amp;";"))&amp;_xlfn.SINGLE(IF(Q8="","",'字段对应'!$B$13&amp;"="&amp;Q8&amp;";"))&amp;_xlfn.SINGLE(IF(R8="","",'字段对应'!$B$14&amp;"="&amp;R8&amp;";"))&amp;_xlfn.SINGLE(IF(U8="","",'字段对应'!$B$22&amp;"="&amp;U8&amp;";"))&amp;_xlfn.SINGLE(IF(K8="","",'字段对应'!$B$21&amp;"="&amp;VLOOKUP(K8,'基础信息'!$F$2:$G$4,2,0)))</f>
        <v>PhotoMode=2;ScanSpeed=2;WlRange=660,650,0.1;Gain=4;Slit1=1.0;LampPos=1</v>
      </c>
      <c s="177" t="str">
        <f>_xlfn.SINGLE(IF(W8="","",'检测项信息'!W8&amp;":"&amp;'字段对应'!$B$16&amp;"|"))&amp;IF(X8="","",X8&amp;":"&amp;IF(V8="是",'字段对应'!$C$17,'字段对应'!$B$17&amp;";"&amp;_xlfn.SINGLE(IF(H8="","",'字段对应'!$B$15&amp;"="&amp;'检测项信息'!H8)))&amp;"|")&amp;_xlfn.SINGLE(IF(Y8="",":",Y8&amp;":"))&amp;IF(V8="是",'字段对应'!$C$18,'字段对应'!$B$18&amp;";"&amp;_xlfn.SINGLE(IF(H8="","",'字段对应'!$B$15&amp;"="&amp;'检测项信息'!H8))&amp;_xlfn.SINGLE(IF(AND(T8="",S8=""),"",";"&amp;'字段对应'!$B$20&amp;"="&amp;T8&amp;";"&amp;'字段对应'!$B$19&amp;"="&amp;S8)))</f>
        <v>空气:Scan</v>
      </c>
      <c s="189">
        <v>1</v>
      </c>
      <c s="177"/>
      <c s="189">
        <v>656.1</v>
      </c>
      <c s="177" t="str">
        <f>VLOOKUP(J8,'字段对应'!$D$2:$E$8,2,0)</f>
        <v>Validation.ViewModel.DataStructure.FindHalfPeakUVTestTool</v>
      </c>
      <c s="177" t="s">
        <v>277</v>
      </c>
      <c s="117" t="s">
        <v>25</v>
      </c>
      <c s="117" t="s">
        <v>149</v>
      </c>
      <c s="117" t="s">
        <v>150</v>
      </c>
      <c s="331">
        <v>660</v>
      </c>
      <c s="331">
        <v>650</v>
      </c>
      <c s="331">
        <v>0.1</v>
      </c>
      <c s="331">
        <v>4</v>
      </c>
      <c s="117" t="s">
        <v>151</v>
      </c>
      <c s="117"/>
      <c s="117"/>
      <c s="117"/>
      <c s="177" t="s">
        <v>137</v>
      </c>
      <c s="177"/>
      <c s="177"/>
      <c s="177" t="s">
        <v>273</v>
      </c>
      <c s="189">
        <f>VLOOKUP(A8,'对应信息'!$D$2:$E$10,2,0)</f>
        <v>6E+3</v>
      </c>
      <c s="189">
        <f t="shared" si="0"/>
        <v>6003</v>
      </c>
      <c s="96" t="s">
        <v>151</v>
      </c>
    </row>
    <row r="9" ht="27">
      <c r="A9" s="125" t="s">
        <v>205</v>
      </c>
      <c s="177" t="s">
        <v>73</v>
      </c>
      <c s="177"/>
      <c s="177" t="str">
        <f>_xlfn.SINGLE(IF(L9="","",'字段对应'!$B$10&amp;"="&amp;VLOOKUP(L9,'基础信息'!$I$2:$J$6,2,0)&amp;";"))&amp;_xlfn.SINGLE(IF(M9="","",'字段对应'!$B$11&amp;"="&amp;VLOOKUP(M9,'基础信息'!$K$2:$L$6,2,0)&amp;";"))&amp;_xlfn.SINGLE(IF(N9="","",'字段对应'!$C$2&amp;"="&amp;N9&amp;","&amp;O9&amp;","&amp;P9&amp;";"))&amp;_xlfn.SINGLE(IF(Q9="","",'字段对应'!$B$13&amp;"="&amp;Q9&amp;";"))&amp;_xlfn.SINGLE(IF(R9="","",'字段对应'!$B$14&amp;"="&amp;R9&amp;";"))&amp;_xlfn.SINGLE(IF(U9="","",'字段对应'!$B$22&amp;"="&amp;U9&amp;";"))&amp;_xlfn.SINGLE(IF(K9="","",'字段对应'!$B$21&amp;"="&amp;VLOOKUP(K9,'基础信息'!$F$2:$G$4,2,0)))</f>
        <v>PhotoMode=2;ScanSpeed=2;WlRange=660,650,0.02;Gain=4;Slit1=0.5;LampPos=1</v>
      </c>
      <c s="177" t="str">
        <f>_xlfn.SINGLE(IF(W9="","",'检测项信息'!W9&amp;":"&amp;'字段对应'!$B$16&amp;"|"))&amp;IF(X9="","",X9&amp;":"&amp;IF(V9="是",'字段对应'!$C$17,'字段对应'!$B$17&amp;";"&amp;_xlfn.SINGLE(IF(H9="","",'字段对应'!$B$15&amp;"="&amp;'检测项信息'!H9)))&amp;"|")&amp;_xlfn.SINGLE(IF(Y9="",":",Y9&amp;":"))&amp;IF(V9="是",'字段对应'!$C$18,'字段对应'!$B$18&amp;";"&amp;_xlfn.SINGLE(IF(H9="","",'字段对应'!$B$15&amp;"="&amp;'检测项信息'!H9))&amp;_xlfn.SINGLE(IF(AND(T9="",S9=""),"",";"&amp;'字段对应'!$B$20&amp;"="&amp;T9&amp;";"&amp;'字段对应'!$B$19&amp;"="&amp;S9)))</f>
        <v>空气:Scan</v>
      </c>
      <c s="189">
        <v>1</v>
      </c>
      <c s="177"/>
      <c s="189">
        <v>656.1</v>
      </c>
      <c s="177" t="str">
        <f>VLOOKUP(J9,'字段对应'!$D$2:$E$8,2,0)</f>
        <v>Validation.ViewModel.DataStructure.FindHalfPeakUVTestTool</v>
      </c>
      <c s="177" t="s">
        <v>277</v>
      </c>
      <c s="117" t="s">
        <v>25</v>
      </c>
      <c s="117" t="s">
        <v>149</v>
      </c>
      <c s="117" t="s">
        <v>150</v>
      </c>
      <c s="331">
        <v>660</v>
      </c>
      <c s="331">
        <v>650</v>
      </c>
      <c s="331">
        <v>0.02</v>
      </c>
      <c s="331">
        <v>4</v>
      </c>
      <c s="331">
        <v>0.5</v>
      </c>
      <c s="117"/>
      <c s="117"/>
      <c s="117"/>
      <c s="177" t="s">
        <v>137</v>
      </c>
      <c s="177"/>
      <c s="177"/>
      <c s="177" t="s">
        <v>273</v>
      </c>
      <c s="189">
        <f>VLOOKUP(A9,'对应信息'!$D$2:$E$10,2,0)</f>
        <v>6E+3</v>
      </c>
      <c s="189">
        <f t="shared" si="0"/>
        <v>6004</v>
      </c>
      <c s="96">
        <v>0.5</v>
      </c>
    </row>
    <row r="10" ht="27">
      <c r="A10" s="125" t="s">
        <v>205</v>
      </c>
      <c s="177" t="s">
        <v>74</v>
      </c>
      <c s="177"/>
      <c s="177" t="str">
        <f>_xlfn.SINGLE(IF(L10="","",'字段对应'!$B$10&amp;"="&amp;VLOOKUP(L10,'基础信息'!$I$2:$J$6,2,0)&amp;";"))&amp;_xlfn.SINGLE(IF(M10="","",'字段对应'!$B$11&amp;"="&amp;VLOOKUP(M10,'基础信息'!$K$2:$L$6,2,0)&amp;";"))&amp;_xlfn.SINGLE(IF(N10="","",'字段对应'!$C$2&amp;"="&amp;N10&amp;","&amp;O10&amp;","&amp;P10&amp;";"))&amp;_xlfn.SINGLE(IF(Q10="","",'字段对应'!$B$13&amp;"="&amp;Q10&amp;";"))&amp;_xlfn.SINGLE(IF(R10="","",'字段对应'!$B$14&amp;"="&amp;R10&amp;";"))&amp;_xlfn.SINGLE(IF(U10="","",'字段对应'!$B$22&amp;"="&amp;U10&amp;";"))&amp;_xlfn.SINGLE(IF(K10="","",'字段对应'!$B$21&amp;"="&amp;VLOOKUP(K10,'基础信息'!$F$2:$G$4,2,0)))</f>
        <v>PhotoMode=2;ScanSpeed=2;WlRange=660,650,0.02;Gain=4;Slit1=0.2;LampPos=1</v>
      </c>
      <c s="177" t="str">
        <f>_xlfn.SINGLE(IF(W10="","",'检测项信息'!W10&amp;":"&amp;'字段对应'!$B$16&amp;"|"))&amp;IF(X10="","",X10&amp;":"&amp;IF(V10="是",'字段对应'!$C$17,'字段对应'!$B$17&amp;";"&amp;_xlfn.SINGLE(IF(H10="","",'字段对应'!$B$15&amp;"="&amp;'检测项信息'!H10)))&amp;"|")&amp;_xlfn.SINGLE(IF(Y10="",":",Y10&amp;":"))&amp;IF(V10="是",'字段对应'!$C$18,'字段对应'!$B$18&amp;";"&amp;_xlfn.SINGLE(IF(H10="","",'字段对应'!$B$15&amp;"="&amp;'检测项信息'!H10))&amp;_xlfn.SINGLE(IF(AND(T10="",S10=""),"",";"&amp;'字段对应'!$B$20&amp;"="&amp;T10&amp;";"&amp;'字段对应'!$B$19&amp;"="&amp;S10)))</f>
        <v>空气:Scan</v>
      </c>
      <c s="189">
        <v>1</v>
      </c>
      <c s="177"/>
      <c s="189">
        <v>656.1</v>
      </c>
      <c s="177" t="str">
        <f>VLOOKUP(J10,'字段对应'!$D$2:$E$8,2,0)</f>
        <v>Validation.ViewModel.DataStructure.FindHalfPeakUVTestTool</v>
      </c>
      <c s="177" t="s">
        <v>277</v>
      </c>
      <c s="117" t="s">
        <v>25</v>
      </c>
      <c s="117" t="s">
        <v>149</v>
      </c>
      <c s="117" t="s">
        <v>150</v>
      </c>
      <c s="331">
        <v>660</v>
      </c>
      <c s="331">
        <v>650</v>
      </c>
      <c s="331">
        <v>0.02</v>
      </c>
      <c s="331">
        <v>4</v>
      </c>
      <c s="331">
        <v>0.2</v>
      </c>
      <c s="117"/>
      <c s="117"/>
      <c s="117"/>
      <c s="177" t="s">
        <v>137</v>
      </c>
      <c s="177"/>
      <c s="177"/>
      <c s="177" t="s">
        <v>273</v>
      </c>
      <c s="189">
        <f>VLOOKUP(A10,'对应信息'!$D$2:$E$10,2,0)</f>
        <v>6E+3</v>
      </c>
      <c s="189">
        <f t="shared" si="0"/>
        <v>6005</v>
      </c>
      <c s="96">
        <v>0.2</v>
      </c>
    </row>
    <row r="11" ht="27">
      <c r="A11" s="125" t="s">
        <v>205</v>
      </c>
      <c s="177" t="s">
        <v>74</v>
      </c>
      <c s="177"/>
      <c s="177" t="str">
        <f>_xlfn.SINGLE(IF(L11="","",'字段对应'!$B$10&amp;"="&amp;VLOOKUP(L11,'基础信息'!$I$2:$J$6,2,0)&amp;";"))&amp;_xlfn.SINGLE(IF(M11="","",'字段对应'!$B$11&amp;"="&amp;VLOOKUP(M11,'基础信息'!$K$2:$L$6,2,0)&amp;";"))&amp;_xlfn.SINGLE(IF(N11="","",'字段对应'!$C$2&amp;"="&amp;N11&amp;","&amp;O11&amp;","&amp;P11&amp;";"))&amp;_xlfn.SINGLE(IF(Q11="","",'字段对应'!$B$13&amp;"="&amp;Q11&amp;";"))&amp;_xlfn.SINGLE(IF(R11="","",'字段对应'!$B$14&amp;"="&amp;R11&amp;";"))&amp;_xlfn.SINGLE(IF(U11="","",'字段对应'!$B$22&amp;"="&amp;U11&amp;";"))&amp;_xlfn.SINGLE(IF(K11="","",'字段对应'!$B$21&amp;"="&amp;VLOOKUP(K11,'基础信息'!$F$2:$G$4,2,0)))</f>
        <v>PhotoMode=2;ScanSpeed=2;WlRange=660,650,0.1;Gain=4;Slit1=0.2;LampPos=1</v>
      </c>
      <c s="177" t="str">
        <f>_xlfn.SINGLE(IF(W11="","",'检测项信息'!W11&amp;":"&amp;'字段对应'!$B$16&amp;"|"))&amp;IF(X11="","",X11&amp;":"&amp;IF(V11="是",'字段对应'!$C$17,'字段对应'!$B$17&amp;";"&amp;_xlfn.SINGLE(IF(H11="","",'字段对应'!$B$15&amp;"="&amp;'检测项信息'!H11)))&amp;"|")&amp;_xlfn.SINGLE(IF(Y11="",":",Y11&amp;":"))&amp;IF(V11="是",'字段对应'!$C$18,'字段对应'!$B$18&amp;";"&amp;_xlfn.SINGLE(IF(H11="","",'字段对应'!$B$15&amp;"="&amp;'检测项信息'!H11))&amp;_xlfn.SINGLE(IF(AND(T11="",S11=""),"",";"&amp;'字段对应'!$B$20&amp;"="&amp;T11&amp;";"&amp;'字段对应'!$B$19&amp;"="&amp;S11)))</f>
        <v>空气:Scan</v>
      </c>
      <c s="189">
        <v>1</v>
      </c>
      <c s="177"/>
      <c s="189">
        <v>656.1</v>
      </c>
      <c s="177" t="str">
        <f>VLOOKUP(J11,'字段对应'!$D$2:$E$8,2,0)</f>
        <v>Validation.ViewModel.DataStructure.FindHalfPeakUVTestTool</v>
      </c>
      <c s="177" t="s">
        <v>277</v>
      </c>
      <c s="117" t="s">
        <v>25</v>
      </c>
      <c s="117" t="s">
        <v>149</v>
      </c>
      <c s="117" t="s">
        <v>150</v>
      </c>
      <c s="331">
        <v>660</v>
      </c>
      <c s="331">
        <v>650</v>
      </c>
      <c s="331">
        <v>0.1</v>
      </c>
      <c s="331">
        <v>4</v>
      </c>
      <c s="331">
        <v>0.2</v>
      </c>
      <c s="117"/>
      <c s="117"/>
      <c s="117"/>
      <c s="177" t="s">
        <v>137</v>
      </c>
      <c s="177"/>
      <c s="177"/>
      <c s="177" t="s">
        <v>273</v>
      </c>
      <c s="189">
        <f>VLOOKUP(A11,'对应信息'!$D$2:$E$10,2,0)</f>
        <v>6E+3</v>
      </c>
      <c s="189">
        <f t="shared" si="0"/>
        <v>6006</v>
      </c>
      <c s="96">
        <v>0.2</v>
      </c>
    </row>
    <row r="12" ht="27">
      <c r="A12" s="177" t="s">
        <v>203</v>
      </c>
      <c s="177" t="s">
        <v>62</v>
      </c>
      <c s="177"/>
      <c s="177" t="str">
        <f>_xlfn.SINGLE(IF(L12="","",'字段对应'!$B$10&amp;"="&amp;VLOOKUP(L12,'基础信息'!$I$2:$J$6,2,0)&amp;";"))&amp;_xlfn.SINGLE(IF(M12="","",'字段对应'!$B$11&amp;"="&amp;VLOOKUP(M12,'基础信息'!$K$2:$L$6,2,0)&amp;";"))&amp;_xlfn.SINGLE(IF(N12="","",'字段对应'!$C$2&amp;"="&amp;N12&amp;","&amp;O12&amp;","&amp;P12&amp;";"))&amp;_xlfn.SINGLE(IF(Q12="","",'字段对应'!$B$13&amp;"="&amp;Q12&amp;";"))&amp;_xlfn.SINGLE(IF(R12="","",'字段对应'!$B$14&amp;"="&amp;R12&amp;";"))&amp;_xlfn.SINGLE(IF(U12="","",'字段对应'!$B$22&amp;"="&amp;U12&amp;";"))&amp;_xlfn.SINGLE(IF(K12="","",'字段对应'!$B$21&amp;"="&amp;VLOOKUP(K12,'基础信息'!$F$2:$G$4,2,0)))</f>
        <v>PhotoMode=0;ScanSpeed=2;WlRange=1090,200,1;Slit1=2.0;</v>
      </c>
      <c s="177" t="str">
        <f>_xlfn.SINGLE(IF(W12="","",'检测项信息'!W12&amp;":"&amp;'字段对应'!$B$16&amp;"|"))&amp;IF(X12="","",X12&amp;":"&amp;IF(V12="是",'字段对应'!$C$17,'字段对应'!$B$17&amp;";"&amp;_xlfn.SINGLE(IF(H12="","",'字段对应'!$B$15&amp;"="&amp;'检测项信息'!H12)))&amp;"|")&amp;_xlfn.SINGLE(IF(Y12="",":",Y12&amp;":"))&amp;IF(V12="是",'字段对应'!$C$18,'字段对应'!$B$18&amp;";"&amp;_xlfn.SINGLE(IF(H12="","",'字段对应'!$B$15&amp;"="&amp;'检测项信息'!H12))&amp;_xlfn.SINGLE(IF(AND(T12="",S12=""),"",";"&amp;'字段对应'!$B$20&amp;"="&amp;T12&amp;";"&amp;'字段对应'!$B$19&amp;"="&amp;S12)))</f>
        <v>黑挡块:Dark|空气:BaseLine|空气:Scan</v>
      </c>
      <c s="189">
        <v>1</v>
      </c>
      <c s="177"/>
      <c s="177"/>
      <c s="177" t="str">
        <f>VLOOKUP(J12,'字段对应'!$D$2:$E$8,2,0)</f>
        <v>Validation.ViewModel.DataStructure.GetMaxDIstanceUVTestTool</v>
      </c>
      <c s="177" t="s">
        <v>278</v>
      </c>
      <c s="117"/>
      <c s="117" t="s">
        <v>139</v>
      </c>
      <c s="117" t="s">
        <v>150</v>
      </c>
      <c s="331">
        <v>1090</v>
      </c>
      <c s="331">
        <v>200</v>
      </c>
      <c s="331">
        <v>1</v>
      </c>
      <c s="117"/>
      <c s="117" t="s">
        <v>155</v>
      </c>
      <c s="117"/>
      <c s="117"/>
      <c s="117"/>
      <c s="177" t="s">
        <v>137</v>
      </c>
      <c s="177" t="s">
        <v>275</v>
      </c>
      <c s="177" t="s">
        <v>273</v>
      </c>
      <c s="177" t="s">
        <v>273</v>
      </c>
      <c s="189">
        <f>VLOOKUP(A12,'对应信息'!$D$2:$E$10,2,0)</f>
        <v>4E+3</v>
      </c>
      <c s="189">
        <f>IF(Z10=Z12,AA10+1,Z12+1)</f>
        <v>4001</v>
      </c>
      <c s="96"/>
    </row>
    <row r="13" ht="37.5" customHeight="1">
      <c r="A13" s="177" t="s">
        <v>204</v>
      </c>
      <c s="177" t="s">
        <v>65</v>
      </c>
      <c s="177"/>
      <c s="177" t="str">
        <f>_xlfn.SINGLE(IF(L13="","",'字段对应'!$B$10&amp;"="&amp;VLOOKUP(L13,'基础信息'!$I$2:$J$6,2,0)&amp;";"))&amp;_xlfn.SINGLE(IF(M13="","",'字段对应'!$B$11&amp;"="&amp;VLOOKUP(M13,'基础信息'!$K$2:$L$6,2,0)&amp;";"))&amp;_xlfn.SINGLE(IF(N13="","",'字段对应'!$C$2&amp;"="&amp;N13&amp;","&amp;O13&amp;","&amp;P13&amp;";"))&amp;_xlfn.SINGLE(IF(Q13="","",'字段对应'!$B$13&amp;"="&amp;Q13&amp;";"))&amp;_xlfn.SINGLE(IF(R13="","",'字段对应'!$B$14&amp;"="&amp;R13&amp;";"))&amp;_xlfn.SINGLE(IF(U13="","",'字段对应'!$B$22&amp;"="&amp;U13&amp;";"))&amp;_xlfn.SINGLE(IF(K13="","",'字段对应'!$B$21&amp;"="&amp;VLOOKUP(K13,'基础信息'!$F$2:$G$4,2,0)))</f>
        <v>PhotoMode=1;ScanSpeed=2;WlRange=1090,200,1;Slit1=2.0;</v>
      </c>
      <c s="177" t="str">
        <f>_xlfn.SINGLE(IF(W13="","",'检测项信息'!W13&amp;":"&amp;'字段对应'!$B$16&amp;"|"))&amp;IF(X13="","",X13&amp;":"&amp;IF(V13="是",'字段对应'!$C$17,'字段对应'!$B$17&amp;";"&amp;_xlfn.SINGLE(IF(H13="","",'字段对应'!$B$15&amp;"="&amp;'检测项信息'!H13)))&amp;"|")&amp;_xlfn.SINGLE(IF(Y13="",":",Y13&amp;":"))&amp;IF(V13="是",'字段对应'!$C$18,'字段对应'!$B$18&amp;";"&amp;_xlfn.SINGLE(IF(H13="","",'字段对应'!$B$15&amp;"="&amp;'检测项信息'!H13))&amp;_xlfn.SINGLE(IF(AND(T13="",S13=""),"",";"&amp;'字段对应'!$B$20&amp;"="&amp;T13&amp;";"&amp;'字段对应'!$B$19&amp;"="&amp;S13)))</f>
        <v>黑挡块:Dark|空气:BaseLine|黑挡块:Scan</v>
      </c>
      <c s="189">
        <v>1</v>
      </c>
      <c s="177"/>
      <c s="177"/>
      <c s="177" t="str">
        <f>VLOOKUP(J13,'字段对应'!$D$2:$E$8,2,0)</f>
        <v>Validation.ViewModel.DataStructure.GetMaxDIstanceUVTestTool</v>
      </c>
      <c s="177" t="s">
        <v>278</v>
      </c>
      <c s="117"/>
      <c s="117" t="s">
        <v>144</v>
      </c>
      <c s="117" t="s">
        <v>150</v>
      </c>
      <c s="331">
        <v>1090</v>
      </c>
      <c s="331">
        <v>200</v>
      </c>
      <c s="331">
        <v>1</v>
      </c>
      <c s="117"/>
      <c s="117" t="s">
        <v>155</v>
      </c>
      <c s="117"/>
      <c s="117"/>
      <c s="117"/>
      <c s="177" t="s">
        <v>137</v>
      </c>
      <c s="177" t="s">
        <v>275</v>
      </c>
      <c s="177" t="s">
        <v>273</v>
      </c>
      <c s="177" t="s">
        <v>275</v>
      </c>
      <c s="189">
        <f>VLOOKUP(A13,'对应信息'!$D$2:$E$10,2,0)</f>
        <v>5E+3</v>
      </c>
      <c s="189">
        <f ref="AA13:AA28" t="shared" si="1">IF(Z12=Z13,AA12+1,Z13+1)</f>
        <v>5001</v>
      </c>
      <c s="96"/>
    </row>
    <row r="14" ht="51" customHeight="1">
      <c r="A14" s="177" t="s">
        <v>206</v>
      </c>
      <c s="177" t="s">
        <v>207</v>
      </c>
      <c s="177"/>
      <c s="177" t="str">
        <f>_xlfn.SINGLE(IF(L14="","",'字段对应'!$B$10&amp;"="&amp;VLOOKUP(L14,'基础信息'!$I$2:$J$6,2,0)&amp;";"))&amp;_xlfn.SINGLE(IF(M14="","",'字段对应'!$B$11&amp;"="&amp;VLOOKUP(M14,'基础信息'!$K$2:$L$6,2,0)&amp;";"))&amp;_xlfn.SINGLE(IF(N14="","",'字段对应'!$C$2&amp;"="&amp;N14&amp;","&amp;O14&amp;","&amp;P14&amp;";"))&amp;_xlfn.SINGLE(IF(Q14="","",'字段对应'!$B$13&amp;"="&amp;Q14&amp;";"))&amp;_xlfn.SINGLE(IF(R14="","",'字段对应'!$B$14&amp;"="&amp;R14&amp;";"))&amp;_xlfn.SINGLE(IF(U14="","",'字段对应'!$B$22&amp;"="&amp;U14&amp;";"))&amp;_xlfn.SINGLE(IF(K14="","",'字段对应'!$B$21&amp;"="&amp;VLOOKUP(K14,'基础信息'!$F$2:$G$4,2,0)))</f>
        <v>PhotoMode=1;ScanSpeed=2;Slit1=2.0;ResponseTime=1;</v>
      </c>
      <c s="177" t="str">
        <f>_xlfn.SINGLE(IF(W14="","",'检测项信息'!W14&amp;":"&amp;'字段对应'!$B$16&amp;"|"))&amp;IF(X14="","",X14&amp;":"&amp;IF(V14="是",'字段对应'!$C$17,'字段对应'!$B$17&amp;";"&amp;_xlfn.SINGLE(IF(H14="","",'字段对应'!$B$15&amp;"="&amp;'检测项信息'!H14)))&amp;"|")&amp;_xlfn.SINGLE(IF(Y14="",":",Y14&amp;":"))&amp;IF(V14="是",'字段对应'!$C$18,'字段对应'!$B$18&amp;";"&amp;_xlfn.SINGLE(IF(H14="","",'字段对应'!$B$15&amp;"="&amp;'检测项信息'!H14))&amp;_xlfn.SINGLE(IF(AND(T14="",S14=""),"",";"&amp;'字段对应'!$B$20&amp;"="&amp;T14&amp;";"&amp;'字段对应'!$B$19&amp;"="&amp;S14)))</f>
        <v>黑挡块:Dark|空气:Zero;Wl=500|空气:Measure;Wl=500;totalcount=120;timeinterval=1</v>
      </c>
      <c s="189">
        <v>1</v>
      </c>
      <c s="177"/>
      <c s="189">
        <v>500</v>
      </c>
      <c s="177" t="str">
        <f>VLOOKUP(J14,'字段对应'!$D$2:$E$8,2,0)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120</v>
      </c>
      <c s="331">
        <v>1</v>
      </c>
      <c s="177" t="s">
        <v>142</v>
      </c>
      <c s="177" t="s">
        <v>275</v>
      </c>
      <c s="177" t="s">
        <v>273</v>
      </c>
      <c s="177" t="s">
        <v>273</v>
      </c>
      <c s="189">
        <f>VLOOKUP(A14,'对应信息'!$D$2:$E$10,2,0)</f>
        <v>7E+3</v>
      </c>
      <c s="189">
        <f t="shared" si="1"/>
        <v>7001</v>
      </c>
      <c s="96"/>
    </row>
    <row r="15" ht="40.5">
      <c r="A15" s="177" t="s">
        <v>206</v>
      </c>
      <c s="177" t="s">
        <v>208</v>
      </c>
      <c s="177"/>
      <c s="177" t="str">
        <f>_xlfn.SINGLE(IF(L15="","",'字段对应'!$B$10&amp;"="&amp;VLOOKUP(L15,'基础信息'!$I$2:$J$6,2,0)&amp;";"))&amp;_xlfn.SINGLE(IF(M15="","",'字段对应'!$B$11&amp;"="&amp;VLOOKUP(M15,'基础信息'!$K$2:$L$6,2,0)&amp;";"))&amp;_xlfn.SINGLE(IF(N15="","",'字段对应'!$C$2&amp;"="&amp;N15&amp;","&amp;O15&amp;","&amp;P15&amp;";"))&amp;_xlfn.SINGLE(IF(Q15="","",'字段对应'!$B$13&amp;"="&amp;Q15&amp;";"))&amp;_xlfn.SINGLE(IF(R15="","",'字段对应'!$B$14&amp;"="&amp;R15&amp;";"))&amp;_xlfn.SINGLE(IF(U15="","",'字段对应'!$B$22&amp;"="&amp;U15&amp;";"))&amp;_xlfn.SINGLE(IF(K15="","",'字段对应'!$B$21&amp;"="&amp;VLOOKUP(K15,'基础信息'!$F$2:$G$4,2,0)))</f>
        <v>PhotoMode=1;ScanSpeed=2;Slit1=2.0;ResponseTime=1;</v>
      </c>
      <c s="177" t="str">
        <f>_xlfn.SINGLE(IF(W15="","",'检测项信息'!W15&amp;":"&amp;'字段对应'!$B$16&amp;"|"))&amp;IF(X15="","",X15&amp;":"&amp;IF(V15="是",'字段对应'!$C$17,'字段对应'!$B$17&amp;";"&amp;_xlfn.SINGLE(IF(H15="","",'字段对应'!$B$15&amp;"="&amp;'检测项信息'!H15)))&amp;"|")&amp;_xlfn.SINGLE(IF(Y15="",":",Y15&amp;":"))&amp;IF(V15="是",'字段对应'!$C$18,'字段对应'!$B$18&amp;";"&amp;_xlfn.SINGLE(IF(H15="","",'字段对应'!$B$15&amp;"="&amp;'检测项信息'!H15))&amp;_xlfn.SINGLE(IF(AND(T15="",S15=""),"",";"&amp;'字段对应'!$B$20&amp;"="&amp;T15&amp;";"&amp;'字段对应'!$B$19&amp;"="&amp;S15)))</f>
        <v>黑挡块:Dark|空气:Zero;Wl=500|黑挡块:Measure;Wl=500;totalcount=120;timeinterval=1</v>
      </c>
      <c s="189">
        <v>1</v>
      </c>
      <c s="177"/>
      <c s="189">
        <v>500</v>
      </c>
      <c s="177" t="str">
        <f>VLOOKUP(J15,'字段对应'!$D$2:$E$8,2,0)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120</v>
      </c>
      <c s="331">
        <v>1</v>
      </c>
      <c s="177" t="s">
        <v>142</v>
      </c>
      <c s="177" t="s">
        <v>275</v>
      </c>
      <c s="177" t="s">
        <v>273</v>
      </c>
      <c s="177" t="s">
        <v>275</v>
      </c>
      <c s="189">
        <f>VLOOKUP(A15,'对应信息'!$D$2:$E$10,2,0)</f>
        <v>7E+3</v>
      </c>
      <c s="189">
        <f t="shared" si="1"/>
        <v>7002</v>
      </c>
      <c s="96"/>
    </row>
    <row r="16" ht="40.5">
      <c r="A16" s="177" t="s">
        <v>206</v>
      </c>
      <c s="177" t="s">
        <v>209</v>
      </c>
      <c s="177"/>
      <c s="177" t="str">
        <f>_xlfn.SINGLE(IF(L16="","",'字段对应'!$B$10&amp;"="&amp;VLOOKUP(L16,'基础信息'!$I$2:$J$6,2,0)&amp;";"))&amp;_xlfn.SINGLE(IF(M16="","",'字段对应'!$B$11&amp;"="&amp;VLOOKUP(M16,'基础信息'!$K$2:$L$6,2,0)&amp;";"))&amp;_xlfn.SINGLE(IF(N16="","",'字段对应'!$C$2&amp;"="&amp;N16&amp;","&amp;O16&amp;","&amp;P16&amp;";"))&amp;_xlfn.SINGLE(IF(Q16="","",'字段对应'!$B$13&amp;"="&amp;Q16&amp;";"))&amp;_xlfn.SINGLE(IF(R16="","",'字段对应'!$B$14&amp;"="&amp;R16&amp;";"))&amp;_xlfn.SINGLE(IF(U16="","",'字段对应'!$B$22&amp;"="&amp;U16&amp;";"))&amp;_xlfn.SINGLE(IF(K16="","",'字段对应'!$B$21&amp;"="&amp;VLOOKUP(K16,'基础信息'!$F$2:$G$4,2,0)))</f>
        <v>PhotoMode=1;ScanSpeed=2;Slit1=2.0;ResponseTime=1;</v>
      </c>
      <c s="177" t="str">
        <f>_xlfn.SINGLE(IF(W16="","",'检测项信息'!W16&amp;":"&amp;'字段对应'!$B$16&amp;"|"))&amp;IF(X16="","",X16&amp;":"&amp;IF(V16="是",'字段对应'!$C$17,'字段对应'!$B$17&amp;";"&amp;_xlfn.SINGLE(IF(H16="","",'字段对应'!$B$15&amp;"="&amp;'检测项信息'!H16)))&amp;"|")&amp;_xlfn.SINGLE(IF(Y16="",":",Y16&amp;":"))&amp;IF(V16="是",'字段对应'!$C$18,'字段对应'!$B$18&amp;";"&amp;_xlfn.SINGLE(IF(H16="","",'字段对应'!$B$15&amp;"="&amp;'检测项信息'!H16))&amp;_xlfn.SINGLE(IF(AND(T16="",S16=""),"",";"&amp;'字段对应'!$B$20&amp;"="&amp;T16&amp;";"&amp;'字段对应'!$B$19&amp;"="&amp;S16)))</f>
        <v>黑挡块:Dark|空气:Zero;Wl=250|空气:Measure;Wl=250;totalcount=120;timeinterval=1</v>
      </c>
      <c s="189">
        <v>1</v>
      </c>
      <c s="177"/>
      <c s="189">
        <v>250</v>
      </c>
      <c s="177" t="str">
        <f>VLOOKUP(J16,'字段对应'!$D$2:$E$8,2,0)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120</v>
      </c>
      <c s="331">
        <v>1</v>
      </c>
      <c s="177" t="s">
        <v>142</v>
      </c>
      <c s="177" t="s">
        <v>275</v>
      </c>
      <c s="177" t="s">
        <v>273</v>
      </c>
      <c s="177" t="s">
        <v>273</v>
      </c>
      <c s="189">
        <f>VLOOKUP(A16,'对应信息'!$D$2:$E$10,2,0)</f>
        <v>7E+3</v>
      </c>
      <c s="189">
        <f t="shared" si="1"/>
        <v>7003</v>
      </c>
      <c s="96"/>
    </row>
    <row r="17" ht="40.5">
      <c r="A17" s="177" t="s">
        <v>206</v>
      </c>
      <c s="177" t="s">
        <v>210</v>
      </c>
      <c s="177"/>
      <c s="177" t="str">
        <f>_xlfn.SINGLE(IF(L17="","",'字段对应'!$B$10&amp;"="&amp;VLOOKUP(L17,'基础信息'!$I$2:$J$6,2,0)&amp;";"))&amp;_xlfn.SINGLE(IF(M17="","",'字段对应'!$B$11&amp;"="&amp;VLOOKUP(M17,'基础信息'!$K$2:$L$6,2,0)&amp;";"))&amp;_xlfn.SINGLE(IF(N17="","",'字段对应'!$C$2&amp;"="&amp;N17&amp;","&amp;O17&amp;","&amp;P17&amp;";"))&amp;_xlfn.SINGLE(IF(Q17="","",'字段对应'!$B$13&amp;"="&amp;Q17&amp;";"))&amp;_xlfn.SINGLE(IF(R17="","",'字段对应'!$B$14&amp;"="&amp;R17&amp;";"))&amp;_xlfn.SINGLE(IF(U17="","",'字段对应'!$B$22&amp;"="&amp;U17&amp;";"))&amp;_xlfn.SINGLE(IF(K17="","",'字段对应'!$B$21&amp;"="&amp;VLOOKUP(K17,'基础信息'!$F$2:$G$4,2,0)))</f>
        <v>PhotoMode=1;ScanSpeed=2;Slit1=2.0;ResponseTime=1;</v>
      </c>
      <c s="177" t="str">
        <f>_xlfn.SINGLE(IF(W17="","",'检测项信息'!W17&amp;":"&amp;'字段对应'!$B$16&amp;"|"))&amp;IF(X17="","",X17&amp;":"&amp;IF(V17="是",'字段对应'!$C$17,'字段对应'!$B$17&amp;";"&amp;_xlfn.SINGLE(IF(H17="","",'字段对应'!$B$15&amp;"="&amp;'检测项信息'!H17)))&amp;"|")&amp;_xlfn.SINGLE(IF(Y17="",":",Y17&amp;":"))&amp;IF(V17="是",'字段对应'!$C$18,'字段对应'!$B$18&amp;";"&amp;_xlfn.SINGLE(IF(H17="","",'字段对应'!$B$15&amp;"="&amp;'检测项信息'!H17))&amp;_xlfn.SINGLE(IF(AND(T17="",S17=""),"",";"&amp;'字段对应'!$B$20&amp;"="&amp;T17&amp;";"&amp;'字段对应'!$B$19&amp;"="&amp;S17)))</f>
        <v>黑挡块:Dark|空气:Zero;Wl=250|黑挡块:Measure;Wl=250;totalcount=120;timeinterval=1</v>
      </c>
      <c s="189">
        <v>1</v>
      </c>
      <c s="177"/>
      <c s="189">
        <v>250</v>
      </c>
      <c s="177" t="str">
        <f>VLOOKUP(J17,'字段对应'!$D$2:$E$8,2,0)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120</v>
      </c>
      <c s="331">
        <v>1</v>
      </c>
      <c s="177" t="s">
        <v>142</v>
      </c>
      <c s="177" t="s">
        <v>275</v>
      </c>
      <c s="177" t="s">
        <v>273</v>
      </c>
      <c s="177" t="s">
        <v>275</v>
      </c>
      <c s="189">
        <f>VLOOKUP(A17,'对应信息'!$D$2:$E$10,2,0)</f>
        <v>7E+3</v>
      </c>
      <c s="189">
        <f t="shared" si="1"/>
        <v>7004</v>
      </c>
      <c s="96"/>
    </row>
    <row r="18" ht="54">
      <c r="A18" s="177" t="s">
        <v>211</v>
      </c>
      <c s="177" t="s">
        <v>212</v>
      </c>
      <c s="177"/>
      <c s="177" t="str">
        <f>_xlfn.SINGLE(IF(L18="","",'字段对应'!$B$10&amp;"="&amp;VLOOKUP(L18,'基础信息'!$I$2:$J$6,2,0)&amp;";"))&amp;_xlfn.SINGLE(IF(M18="","",'字段对应'!$B$11&amp;"="&amp;VLOOKUP(M18,'基础信息'!$K$2:$L$6,2,0)&amp;";"))&amp;_xlfn.SINGLE(IF(N18="","",'字段对应'!$C$2&amp;"="&amp;N18&amp;","&amp;O18&amp;","&amp;P18&amp;";"))&amp;_xlfn.SINGLE(IF(Q18="","",'字段对应'!$B$13&amp;"="&amp;Q18&amp;";"))&amp;_xlfn.SINGLE(IF(R18="","",'字段对应'!$B$14&amp;"="&amp;R18&amp;";"))&amp;_xlfn.SINGLE(IF(U18="","",'字段对应'!$B$22&amp;"="&amp;U18&amp;";"))&amp;_xlfn.SINGLE(IF(K18="","",'字段对应'!$B$21&amp;"="&amp;VLOOKUP(K18,'基础信息'!$F$2:$G$4,2,0)))</f>
        <v>PhotoMode=1;ScanSpeed=2;Slit1=2.0;ResponseTime=1;</v>
      </c>
      <c s="177" t="str">
        <f>_xlfn.SINGLE(IF(W18="","",'检测项信息'!W18&amp;":"&amp;'字段对应'!$B$16&amp;"|"))&amp;IF(X18="","",X18&amp;":"&amp;IF(V18="是",'字段对应'!$C$17,'字段对应'!$B$17&amp;";"&amp;_xlfn.SINGLE(IF(H18="","",'字段对应'!$B$15&amp;"="&amp;'检测项信息'!H18)))&amp;"|")&amp;_xlfn.SINGLE(IF(Y18="",":",Y18&amp;":"))&amp;IF(V18="是",'字段对应'!$C$18,'字段对应'!$B$18&amp;";"&amp;_xlfn.SINGLE(IF(H18="","",'字段对应'!$B$15&amp;"="&amp;'检测项信息'!H18))&amp;_xlfn.SINGLE(IF(AND(T18="",S18=""),"",";"&amp;'字段对应'!$B$20&amp;"="&amp;T18&amp;";"&amp;'字段对应'!$B$19&amp;"="&amp;S18)))</f>
        <v>黑挡块:Dark|空气:Zero;Wl=1090|空气:Measure;Wl=1090;totalcount=180;timeinterval=1</v>
      </c>
      <c s="189">
        <v>1</v>
      </c>
      <c s="177"/>
      <c s="189">
        <v>1090</v>
      </c>
      <c s="177" t="str">
        <f>VLOOKUP(J18,'字段对应'!$D$2:$E$8,2,0)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180</v>
      </c>
      <c s="331">
        <v>1</v>
      </c>
      <c s="177" t="s">
        <v>142</v>
      </c>
      <c s="177" t="s">
        <v>275</v>
      </c>
      <c s="177" t="s">
        <v>273</v>
      </c>
      <c s="177" t="s">
        <v>273</v>
      </c>
      <c s="189">
        <f>VLOOKUP(A18,'对应信息'!$D$2:$E$10,2,0)</f>
        <v>8E+3</v>
      </c>
      <c s="189">
        <f t="shared" si="1"/>
        <v>8001</v>
      </c>
      <c s="96"/>
    </row>
    <row r="19" ht="54">
      <c r="A19" s="177" t="s">
        <v>211</v>
      </c>
      <c s="177" t="s">
        <v>213</v>
      </c>
      <c s="177"/>
      <c s="177" t="str">
        <f>_xlfn.SINGLE(IF(L19="","",'字段对应'!$B$10&amp;"="&amp;VLOOKUP(L19,'基础信息'!$I$2:$J$6,2,0)&amp;";"))&amp;_xlfn.SINGLE(IF(M19="","",'字段对应'!$B$11&amp;"="&amp;VLOOKUP(M19,'基础信息'!$K$2:$L$6,2,0)&amp;";"))&amp;_xlfn.SINGLE(IF(N19="","",'字段对应'!$C$2&amp;"="&amp;N19&amp;","&amp;O19&amp;","&amp;P19&amp;";"))&amp;_xlfn.SINGLE(IF(Q19="","",'字段对应'!$B$13&amp;"="&amp;Q19&amp;";"))&amp;_xlfn.SINGLE(IF(R19="","",'字段对应'!$B$14&amp;"="&amp;R19&amp;";"))&amp;_xlfn.SINGLE(IF(U19="","",'字段对应'!$B$22&amp;"="&amp;U19&amp;";"))&amp;_xlfn.SINGLE(IF(K19="","",'字段对应'!$B$21&amp;"="&amp;VLOOKUP(K19,'基础信息'!$F$2:$G$4,2,0)))</f>
        <v>PhotoMode=1;ScanSpeed=2;Slit1=2.0;ResponseTime=1;</v>
      </c>
      <c s="177" t="str">
        <f>_xlfn.SINGLE(IF(W19="","",'检测项信息'!W19&amp;":"&amp;'字段对应'!$B$16&amp;"|"))&amp;IF(X19="","",X19&amp;":"&amp;IF(V19="是",'字段对应'!$C$17,'字段对应'!$B$17&amp;";"&amp;_xlfn.SINGLE(IF(H19="","",'字段对应'!$B$15&amp;"="&amp;'检测项信息'!H19)))&amp;"|")&amp;_xlfn.SINGLE(IF(Y19="",":",Y19&amp;":"))&amp;IF(V19="是",'字段对应'!$C$18,'字段对应'!$B$18&amp;";"&amp;_xlfn.SINGLE(IF(H19="","",'字段对应'!$B$15&amp;"="&amp;'检测项信息'!H19))&amp;_xlfn.SINGLE(IF(AND(T19="",S19=""),"",";"&amp;'字段对应'!$B$20&amp;"="&amp;T19&amp;";"&amp;'字段对应'!$B$19&amp;"="&amp;S19)))</f>
        <v>黑挡块:Dark|空气:Zero;Wl=1090|黑挡块:Measure;Wl=1090;totalcount=180;timeinterval=1</v>
      </c>
      <c s="189">
        <v>1</v>
      </c>
      <c s="177"/>
      <c s="189">
        <v>1090</v>
      </c>
      <c s="177" t="str">
        <f>VLOOKUP(J19,'字段对应'!$D$2:$E$8,2,0)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180</v>
      </c>
      <c s="331">
        <v>1</v>
      </c>
      <c s="177" t="s">
        <v>142</v>
      </c>
      <c s="177" t="s">
        <v>275</v>
      </c>
      <c s="177" t="s">
        <v>273</v>
      </c>
      <c s="177" t="s">
        <v>275</v>
      </c>
      <c s="189">
        <f>VLOOKUP(A19,'对应信息'!$D$2:$E$10,2,0)</f>
        <v>8E+3</v>
      </c>
      <c s="189">
        <f t="shared" si="1"/>
        <v>8002</v>
      </c>
      <c s="96"/>
    </row>
    <row r="20" ht="40.5">
      <c r="A20" s="177" t="s">
        <v>211</v>
      </c>
      <c s="177" t="s">
        <v>214</v>
      </c>
      <c s="177"/>
      <c s="177" t="str">
        <f>_xlfn.SINGLE(IF(L20="","",'字段对应'!$B$10&amp;"="&amp;VLOOKUP(L20,'基础信息'!$I$2:$J$6,2,0)&amp;";"))&amp;_xlfn.SINGLE(IF(M20="","",'字段对应'!$B$11&amp;"="&amp;VLOOKUP(M20,'基础信息'!$K$2:$L$6,2,0)&amp;";"))&amp;_xlfn.SINGLE(IF(N20="","",'字段对应'!$C$2&amp;"="&amp;N20&amp;","&amp;O20&amp;","&amp;P20&amp;";"))&amp;_xlfn.SINGLE(IF(Q20="","",'字段对应'!$B$13&amp;"="&amp;Q20&amp;";"))&amp;_xlfn.SINGLE(IF(R20="","",'字段对应'!$B$14&amp;"="&amp;R20&amp;";"))&amp;_xlfn.SINGLE(IF(U20="","",'字段对应'!$B$22&amp;"="&amp;U20&amp;";"))&amp;_xlfn.SINGLE(IF(K20="","",'字段对应'!$B$21&amp;"="&amp;VLOOKUP(K20,'基础信息'!$F$2:$G$4,2,0)))</f>
        <v>PhotoMode=1;ScanSpeed=2;Slit1=2.0;ResponseTime=1;</v>
      </c>
      <c s="177" t="str">
        <f>_xlfn.SINGLE(IF(W20="","",'检测项信息'!W20&amp;":"&amp;'字段对应'!$B$16&amp;"|"))&amp;IF(X20="","",X20&amp;":"&amp;IF(V20="是",'字段对应'!$C$17,'字段对应'!$B$17&amp;";"&amp;_xlfn.SINGLE(IF(H20="","",'字段对应'!$B$15&amp;"="&amp;'检测项信息'!H20)))&amp;"|")&amp;_xlfn.SINGLE(IF(Y20="",":",Y20&amp;":"))&amp;IF(V20="是",'字段对应'!$C$18,'字段对应'!$B$18&amp;";"&amp;_xlfn.SINGLE(IF(H20="","",'字段对应'!$B$15&amp;"="&amp;'检测项信息'!H20))&amp;_xlfn.SINGLE(IF(AND(T20="",S20=""),"",";"&amp;'字段对应'!$B$20&amp;"="&amp;T20&amp;";"&amp;'字段对应'!$B$19&amp;"="&amp;S20)))</f>
        <v>黑挡块:Dark|空气:Zero;Wl=200|空气:Measure;Wl=200;totalcount=180;timeinterval=1</v>
      </c>
      <c s="189">
        <v>1</v>
      </c>
      <c s="177"/>
      <c s="189">
        <v>200</v>
      </c>
      <c s="177" t="str">
        <f>VLOOKUP(J20,'字段对应'!$D$2:$E$8,2,0)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180</v>
      </c>
      <c s="331">
        <v>1</v>
      </c>
      <c s="177" t="s">
        <v>142</v>
      </c>
      <c s="177" t="s">
        <v>275</v>
      </c>
      <c s="177" t="s">
        <v>273</v>
      </c>
      <c s="177" t="s">
        <v>273</v>
      </c>
      <c s="189">
        <f>VLOOKUP(A20,'对应信息'!$D$2:$E$10,2,0)</f>
        <v>8E+3</v>
      </c>
      <c s="189">
        <f t="shared" si="1"/>
        <v>8003</v>
      </c>
      <c s="96"/>
    </row>
    <row r="21" ht="40.5">
      <c r="A21" s="177" t="s">
        <v>211</v>
      </c>
      <c s="177" t="s">
        <v>215</v>
      </c>
      <c s="177"/>
      <c s="177" t="str">
        <f>_xlfn.SINGLE(IF(L21="","",'字段对应'!$B$10&amp;"="&amp;VLOOKUP(L21,'基础信息'!$I$2:$J$6,2,0)&amp;";"))&amp;_xlfn.SINGLE(IF(M21="","",'字段对应'!$B$11&amp;"="&amp;VLOOKUP(M21,'基础信息'!$K$2:$L$6,2,0)&amp;";"))&amp;_xlfn.SINGLE(IF(N21="","",'字段对应'!$C$2&amp;"="&amp;N21&amp;","&amp;O21&amp;","&amp;P21&amp;";"))&amp;_xlfn.SINGLE(IF(Q21="","",'字段对应'!$B$13&amp;"="&amp;Q21&amp;";"))&amp;_xlfn.SINGLE(IF(R21="","",'字段对应'!$B$14&amp;"="&amp;R21&amp;";"))&amp;_xlfn.SINGLE(IF(U21="","",'字段对应'!$B$22&amp;"="&amp;U21&amp;";"))&amp;_xlfn.SINGLE(IF(K21="","",'字段对应'!$B$21&amp;"="&amp;VLOOKUP(K21,'基础信息'!$F$2:$G$4,2,0)))</f>
        <v>PhotoMode=1;ScanSpeed=2;Slit1=2.0;ResponseTime=1;</v>
      </c>
      <c s="177" t="str">
        <f>_xlfn.SINGLE(IF(W21="","",'检测项信息'!W21&amp;":"&amp;'字段对应'!$B$16&amp;"|"))&amp;IF(X21="","",X21&amp;":"&amp;IF(V21="是",'字段对应'!$C$17,'字段对应'!$B$17&amp;";"&amp;_xlfn.SINGLE(IF(H21="","",'字段对应'!$B$15&amp;"="&amp;'检测项信息'!H21)))&amp;"|")&amp;_xlfn.SINGLE(IF(Y21="",":",Y21&amp;":"))&amp;IF(V21="是",'字段对应'!$C$18,'字段对应'!$B$18&amp;";"&amp;_xlfn.SINGLE(IF(H21="","",'字段对应'!$B$15&amp;"="&amp;'检测项信息'!H21))&amp;_xlfn.SINGLE(IF(AND(T21="",S21=""),"",";"&amp;'字段对应'!$B$20&amp;"="&amp;T21&amp;";"&amp;'字段对应'!$B$19&amp;"="&amp;S21)))</f>
        <v>黑挡块:Dark|空气:Zero;Wl=200|黑挡块:Measure;Wl=200;totalcount=180;timeinterval=1</v>
      </c>
      <c s="189">
        <v>1</v>
      </c>
      <c s="177"/>
      <c s="189">
        <v>200</v>
      </c>
      <c s="177" t="str">
        <f>VLOOKUP(J21,'字段对应'!$D$2:$E$8,2,0)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180</v>
      </c>
      <c s="331">
        <v>1</v>
      </c>
      <c s="177" t="s">
        <v>142</v>
      </c>
      <c s="177" t="s">
        <v>275</v>
      </c>
      <c s="177" t="s">
        <v>273</v>
      </c>
      <c s="177" t="s">
        <v>275</v>
      </c>
      <c s="189">
        <f>VLOOKUP(A21,'对应信息'!$D$2:$E$10,2,0)</f>
        <v>8E+3</v>
      </c>
      <c s="189">
        <f t="shared" si="1"/>
        <v>8004</v>
      </c>
      <c s="96"/>
    </row>
    <row r="22" ht="39.75" customHeight="1">
      <c r="A22" s="177" t="s">
        <v>202</v>
      </c>
      <c s="177" t="s">
        <v>280</v>
      </c>
      <c s="177"/>
      <c s="177" t="str">
        <f>_xlfn.SINGLE(IF(L22="","",'字段对应'!$B$10&amp;"="&amp;VLOOKUP(L22,'基础信息'!$I$2:$J$6,2,0)&amp;";"))&amp;_xlfn.SINGLE(IF(M22="","",'字段对应'!$B$11&amp;"="&amp;VLOOKUP(M22,'基础信息'!$K$2:$L$6,2,0)&amp;";"))&amp;_xlfn.SINGLE(IF(N22="","",'字段对应'!$C$2&amp;"="&amp;N22&amp;","&amp;O22&amp;","&amp;P22&amp;";"))&amp;_xlfn.SINGLE(IF(Q22="","",'字段对应'!$B$13&amp;"="&amp;Q22&amp;";"))&amp;_xlfn.SINGLE(IF(R22="","",'字段对应'!$B$14&amp;"="&amp;R22&amp;";"))&amp;_xlfn.SINGLE(IF(U22="","",'字段对应'!$B$22&amp;"="&amp;U22&amp;";"))&amp;_xlfn.SINGLE(IF(K22="","",'字段对应'!$B$21&amp;"="&amp;VLOOKUP(K22,'基础信息'!$F$2:$G$4,2,0)))</f>
        <v>PhotoMode=1;ScanSpeed=2;Slit1=2.0;</v>
      </c>
      <c s="177" t="str">
        <f>_xlfn.SINGLE(IF(W22="","",'检测项信息'!W22&amp;":"&amp;'字段对应'!$B$16&amp;"|"))&amp;IF(X22="","",X22&amp;":"&amp;IF(V22="是",'字段对应'!$C$17,'字段对应'!$B$17&amp;";"&amp;_xlfn.SINGLE(IF(H22="","",'字段对应'!$B$15&amp;"="&amp;'检测项信息'!H22)))&amp;"|")&amp;_xlfn.SINGLE(IF(Y22="",":",Y22&amp;":"))&amp;IF(V22="是",'字段对应'!$C$18,'字段对应'!$B$18&amp;";"&amp;_xlfn.SINGLE(IF(H22="","",'字段对应'!$B$15&amp;"="&amp;'检测项信息'!H22))&amp;_xlfn.SINGLE(IF(AND(T22="",S22=""),"",";"&amp;'字段对应'!$B$20&amp;"="&amp;T22&amp;";"&amp;'字段对应'!$B$19&amp;"="&amp;S22)))</f>
        <v>黑挡块:Dark|碘化钠空白溶液:Zero;Wl=220|碘化钠溶液:Measure;Wl=220</v>
      </c>
      <c s="189">
        <v>3</v>
      </c>
      <c s="189">
        <v>1</v>
      </c>
      <c s="177" t="s">
        <v>281</v>
      </c>
      <c s="177" t="str">
        <f>VLOOKUP(J22,'字段对应'!$D$2:$E$8,2,0)</f>
        <v>Validation.ViewModel.DataStructure.WlPointsUVTestTool</v>
      </c>
      <c s="177" t="s">
        <v>282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117"/>
      <c s="117"/>
      <c s="117"/>
      <c s="177" t="s">
        <v>142</v>
      </c>
      <c s="177" t="s">
        <v>275</v>
      </c>
      <c s="177" t="s">
        <v>283</v>
      </c>
      <c s="177" t="s">
        <v>165</v>
      </c>
      <c s="189">
        <f>VLOOKUP(A22,'对应信息'!$D$2:$E$10,2,0)</f>
        <v>3E+3</v>
      </c>
      <c s="189">
        <f t="shared" si="1"/>
        <v>3001</v>
      </c>
      <c s="96"/>
    </row>
    <row r="23" ht="27">
      <c r="A23" s="177" t="s">
        <v>202</v>
      </c>
      <c s="177" t="s">
        <v>284</v>
      </c>
      <c s="177"/>
      <c s="177" t="str">
        <f>_xlfn.SINGLE(IF(L23="","",'字段对应'!$B$10&amp;"="&amp;VLOOKUP(L23,'基础信息'!$I$2:$J$6,2,0)&amp;";"))&amp;_xlfn.SINGLE(IF(M23="","",'字段对应'!$B$11&amp;"="&amp;VLOOKUP(M23,'基础信息'!$K$2:$L$6,2,0)&amp;";"))&amp;_xlfn.SINGLE(IF(N23="","",'字段对应'!$C$2&amp;"="&amp;N23&amp;","&amp;O23&amp;","&amp;P23&amp;";"))&amp;_xlfn.SINGLE(IF(Q23="","",'字段对应'!$B$13&amp;"="&amp;Q23&amp;";"))&amp;_xlfn.SINGLE(IF(R23="","",'字段对应'!$B$14&amp;"="&amp;R23&amp;";"))&amp;_xlfn.SINGLE(IF(U23="","",'字段对应'!$B$22&amp;"="&amp;U23&amp;";"))&amp;_xlfn.SINGLE(IF(K23="","",'字段对应'!$B$21&amp;"="&amp;VLOOKUP(K23,'基础信息'!$F$2:$G$4,2,0)))</f>
        <v>PhotoMode=1;ScanSpeed=2;Slit1=2.0;</v>
      </c>
      <c s="177" t="str">
        <f>_xlfn.SINGLE(IF(W23="","",'检测项信息'!W23&amp;":"&amp;'字段对应'!$B$16&amp;"|"))&amp;IF(X23="","",X23&amp;":"&amp;IF(V23="是",'字段对应'!$C$17,'字段对应'!$B$17&amp;";"&amp;_xlfn.SINGLE(IF(H23="","",'字段对应'!$B$15&amp;"="&amp;'检测项信息'!H23)))&amp;"|")&amp;_xlfn.SINGLE(IF(Y23="",":",Y23&amp;":"))&amp;IF(V23="是",'字段对应'!$C$18,'字段对应'!$B$18&amp;";"&amp;_xlfn.SINGLE(IF(H23="","",'字段对应'!$B$15&amp;"="&amp;'检测项信息'!H23))&amp;_xlfn.SINGLE(IF(AND(T23="",S23=""),"",";"&amp;'字段对应'!$B$20&amp;"="&amp;T23&amp;";"&amp;'字段对应'!$B$19&amp;"="&amp;S23)))</f>
        <v>黑挡块:Dark|亚硝酸钠空白溶液:Zero;Wl=360|亚硝酸钠溶液:Measure;Wl=360</v>
      </c>
      <c s="189">
        <v>3</v>
      </c>
      <c s="189">
        <v>1</v>
      </c>
      <c s="177" t="s">
        <v>285</v>
      </c>
      <c s="177" t="str">
        <f>VLOOKUP(J23,'字段对应'!$D$2:$E$8,2,0)</f>
        <v>Validation.ViewModel.DataStructure.WlPointsUVTestTool</v>
      </c>
      <c s="177" t="s">
        <v>282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117"/>
      <c s="117"/>
      <c s="117"/>
      <c s="177" t="s">
        <v>142</v>
      </c>
      <c s="177" t="s">
        <v>275</v>
      </c>
      <c s="177" t="s">
        <v>286</v>
      </c>
      <c s="177" t="s">
        <v>166</v>
      </c>
      <c s="189">
        <f>VLOOKUP(A23,'对应信息'!$D$2:$E$10,2,0)</f>
        <v>3E+3</v>
      </c>
      <c s="189">
        <f t="shared" si="1"/>
        <v>3002</v>
      </c>
      <c s="96"/>
    </row>
    <row r="24" ht="40.5">
      <c r="A24" s="177" t="s">
        <v>194</v>
      </c>
      <c s="177" t="s">
        <v>50</v>
      </c>
      <c s="177"/>
      <c s="177" t="str">
        <f>_xlfn.SINGLE(IF(L24="","",'字段对应'!$B$10&amp;"="&amp;VLOOKUP(L24,'基础信息'!$I$2:$J$6,2,0)&amp;";"))&amp;_xlfn.SINGLE(IF(M24="","",'字段对应'!$B$11&amp;"="&amp;VLOOKUP(M24,'基础信息'!$K$2:$L$6,2,0)&amp;";"))&amp;_xlfn.SINGLE(IF(N24="","",'字段对应'!$C$2&amp;"="&amp;N24&amp;","&amp;O24&amp;","&amp;P24&amp;";"))&amp;_xlfn.SINGLE(IF(Q24="","",'字段对应'!$B$13&amp;"="&amp;Q24&amp;";"))&amp;_xlfn.SINGLE(IF(R24="","",'字段对应'!$B$14&amp;"="&amp;R24&amp;";"))&amp;_xlfn.SINGLE(IF(U24="","",'字段对应'!$B$22&amp;"="&amp;U24&amp;";"))&amp;_xlfn.SINGLE(IF(K24="","",'字段对应'!$B$21&amp;"="&amp;VLOOKUP(K24,'基础信息'!$F$2:$G$4,2,0)))</f>
        <v>PhotoMode=1;ScanSpeed=2;Slit1=2.0;</v>
      </c>
      <c s="177" t="str">
        <f>_xlfn.SINGLE(IF(W24="","",'检测项信息'!W24&amp;":"&amp;'字段对应'!$B$16&amp;"|"))&amp;IF(X24="","",X24&amp;":"&amp;IF(V24="是",'字段对应'!$C$17,'字段对应'!$B$17&amp;";"&amp;_xlfn.SINGLE(IF(H24="","",'字段对应'!$B$15&amp;"="&amp;'检测项信息'!H24)))&amp;"|")&amp;_xlfn.SINGLE(IF(Y24="",":",Y24&amp;":"))&amp;IF(V24="是",'字段对应'!$C$18,'字段对应'!$B$18&amp;";"&amp;_xlfn.SINGLE(IF(H24="","",'字段对应'!$B$15&amp;"="&amp;'检测项信息'!H24))&amp;_xlfn.SINGLE(IF(AND(T24="",S24=""),"",";"&amp;'字段对应'!$B$20&amp;"="&amp;T24&amp;";"&amp;'字段对应'!$B$19&amp;"="&amp;S24)))</f>
        <v>黑挡块:Dark|紫外分光光度计标准物质空白溶液:Zero;Wl=350,313,257,235|紫外分光光度计标准物质GBW(E)130066:Measure;Wl=350,313,257,235</v>
      </c>
      <c s="189">
        <v>3</v>
      </c>
      <c s="189">
        <v>1</v>
      </c>
      <c s="177" t="s">
        <v>287</v>
      </c>
      <c s="177" t="str">
        <f>VLOOKUP(J24,'字段对应'!$D$2:$E$8,2,0)</f>
        <v>Validation.ViewModel.DataStructure.WlPointsAndAverageUVTestTool</v>
      </c>
      <c s="177" t="s">
        <v>288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117"/>
      <c s="117"/>
      <c s="117"/>
      <c s="177" t="s">
        <v>142</v>
      </c>
      <c s="177" t="s">
        <v>275</v>
      </c>
      <c s="100" t="s">
        <v>289</v>
      </c>
      <c s="177" t="s">
        <v>50</v>
      </c>
      <c s="189">
        <f>VLOOKUP(A24,'对应信息'!$D$2:$E$10,2,0)</f>
        <v>2E+3</v>
      </c>
      <c s="189">
        <f t="shared" si="1"/>
        <v>2001</v>
      </c>
      <c s="96" t="s">
        <v>290</v>
      </c>
    </row>
    <row r="25" ht="27">
      <c r="A25" s="177" t="s">
        <v>194</v>
      </c>
      <c s="177" t="s">
        <v>40</v>
      </c>
      <c s="177"/>
      <c s="177" t="str">
        <f>_xlfn.SINGLE(IF(L25="","",'字段对应'!$B$10&amp;"="&amp;VLOOKUP(L25,'基础信息'!$I$2:$J$6,2,0)&amp;";"))&amp;_xlfn.SINGLE(IF(M25="","",'字段对应'!$B$11&amp;"="&amp;VLOOKUP(M25,'基础信息'!$K$2:$L$6,2,0)&amp;";"))&amp;_xlfn.SINGLE(IF(N25="","",'字段对应'!$C$2&amp;"="&amp;N25&amp;","&amp;O25&amp;","&amp;P25&amp;";"))&amp;_xlfn.SINGLE(IF(Q25="","",'字段对应'!$B$13&amp;"="&amp;Q25&amp;";"))&amp;_xlfn.SINGLE(IF(R25="","",'字段对应'!$B$14&amp;"="&amp;R25&amp;";"))&amp;_xlfn.SINGLE(IF(U25="","",'字段对应'!$B$22&amp;"="&amp;U25&amp;";"))&amp;_xlfn.SINGLE(IF(K25="","",'字段对应'!$B$21&amp;"="&amp;VLOOKUP(K25,'基础信息'!$F$2:$G$4,2,0)))</f>
        <v>PhotoMode=1;ScanSpeed=2;Slit1=2.0;</v>
      </c>
      <c s="177" t="str">
        <f>_xlfn.SINGLE(IF(W25="","",'检测项信息'!W25&amp;":"&amp;'字段对应'!$B$16&amp;"|"))&amp;IF(X25="","",X25&amp;":"&amp;IF(V25="是",'字段对应'!$C$17,'字段对应'!$B$17&amp;";"&amp;_xlfn.SINGLE(IF(H25="","",'字段对应'!$B$15&amp;"="&amp;'检测项信息'!H25)))&amp;"|")&amp;_xlfn.SINGLE(IF(Y25="",":",Y25&amp;":"))&amp;IF(V25="是",'字段对应'!$C$18,'字段对应'!$B$18&amp;";"&amp;_xlfn.SINGLE(IF(H25="","",'字段对应'!$B$15&amp;"="&amp;'检测项信息'!H25))&amp;_xlfn.SINGLE(IF(AND(T25="",S25=""),"",";"&amp;'字段对应'!$B$20&amp;"="&amp;T25&amp;";"&amp;'字段对应'!$B$19&amp;"="&amp;S25)))</f>
        <v>黑挡块:Dark|空气:Zero;Wl=635,546,440|10%中性滤光片:Measure;Wl=635,546,440</v>
      </c>
      <c s="189">
        <v>3</v>
      </c>
      <c s="189">
        <v>1</v>
      </c>
      <c s="177" t="s">
        <v>291</v>
      </c>
      <c s="177" t="str">
        <f>VLOOKUP(J25,'字段对应'!$D$2:$E$8,2,0)</f>
        <v>Validation.ViewModel.DataStructure.WlPointsAndAverageUVTestTool</v>
      </c>
      <c s="177" t="s">
        <v>288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117"/>
      <c s="117"/>
      <c s="117"/>
      <c s="177" t="s">
        <v>142</v>
      </c>
      <c s="177" t="s">
        <v>275</v>
      </c>
      <c s="177" t="s">
        <v>273</v>
      </c>
      <c s="177" t="s">
        <v>40</v>
      </c>
      <c s="189">
        <f>VLOOKUP(A25,'对应信息'!$D$2:$E$10,2,0)</f>
        <v>2E+3</v>
      </c>
      <c s="189">
        <f t="shared" si="1"/>
        <v>2002</v>
      </c>
      <c s="96" t="s">
        <v>292</v>
      </c>
    </row>
    <row r="26" ht="27">
      <c r="A26" s="177" t="s">
        <v>194</v>
      </c>
      <c s="177" t="s">
        <v>46</v>
      </c>
      <c s="177"/>
      <c s="177" t="str">
        <f>_xlfn.SINGLE(IF(L26="","",'字段对应'!$B$10&amp;"="&amp;VLOOKUP(L26,'基础信息'!$I$2:$J$6,2,0)&amp;";"))&amp;_xlfn.SINGLE(IF(M26="","",'字段对应'!$B$11&amp;"="&amp;VLOOKUP(M26,'基础信息'!$K$2:$L$6,2,0)&amp;";"))&amp;_xlfn.SINGLE(IF(N26="","",'字段对应'!$C$2&amp;"="&amp;N26&amp;","&amp;O26&amp;","&amp;P26&amp;";"))&amp;_xlfn.SINGLE(IF(Q26="","",'字段对应'!$B$13&amp;"="&amp;Q26&amp;";"))&amp;_xlfn.SINGLE(IF(R26="","",'字段对应'!$B$14&amp;"="&amp;R26&amp;";"))&amp;_xlfn.SINGLE(IF(U26="","",'字段对应'!$B$22&amp;"="&amp;U26&amp;";"))&amp;_xlfn.SINGLE(IF(K26="","",'字段对应'!$B$21&amp;"="&amp;VLOOKUP(K26,'基础信息'!$F$2:$G$4,2,0)))</f>
        <v>PhotoMode=1;ScanSpeed=2;Slit1=2.0;</v>
      </c>
      <c s="177" t="str">
        <f>_xlfn.SINGLE(IF(W26="","",'检测项信息'!W26&amp;":"&amp;'字段对应'!$B$16&amp;"|"))&amp;IF(X26="","",X26&amp;":"&amp;IF(V26="是",'字段对应'!$C$17,'字段对应'!$B$17&amp;";"&amp;_xlfn.SINGLE(IF(H26="","",'字段对应'!$B$15&amp;"="&amp;'检测项信息'!H26)))&amp;"|")&amp;_xlfn.SINGLE(IF(Y26="",":",Y26&amp;":"))&amp;IF(V26="是",'字段对应'!$C$18,'字段对应'!$B$18&amp;";"&amp;_xlfn.SINGLE(IF(H26="","",'字段对应'!$B$15&amp;"="&amp;'检测项信息'!H26))&amp;_xlfn.SINGLE(IF(AND(T26="",S26=""),"",";"&amp;'字段对应'!$B$20&amp;"="&amp;T26&amp;";"&amp;'字段对应'!$B$19&amp;"="&amp;S26)))</f>
        <v>黑挡块:Dark|空气:Zero;Wl=635,546,440|20%中性滤光片:Measure;Wl=635,546,440</v>
      </c>
      <c s="189">
        <v>3</v>
      </c>
      <c s="189">
        <v>1</v>
      </c>
      <c s="177" t="s">
        <v>291</v>
      </c>
      <c s="177" t="str">
        <f>VLOOKUP(J26,'字段对应'!$D$2:$E$8,2,0)</f>
        <v>Validation.ViewModel.DataStructure.WlPointsAndAverageUVTestTool</v>
      </c>
      <c s="177" t="s">
        <v>288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117"/>
      <c s="117"/>
      <c s="117"/>
      <c s="177" t="s">
        <v>142</v>
      </c>
      <c s="177" t="s">
        <v>275</v>
      </c>
      <c s="177" t="s">
        <v>273</v>
      </c>
      <c s="177" t="s">
        <v>46</v>
      </c>
      <c s="189">
        <f>VLOOKUP(A26,'对应信息'!$D$2:$E$10,2,0)</f>
        <v>2E+3</v>
      </c>
      <c s="189">
        <f t="shared" si="1"/>
        <v>2003</v>
      </c>
      <c s="96" t="s">
        <v>293</v>
      </c>
    </row>
    <row r="27" ht="40.5" customHeight="1">
      <c r="A27" s="177" t="s">
        <v>194</v>
      </c>
      <c s="177" t="s">
        <v>48</v>
      </c>
      <c s="177"/>
      <c s="177" t="str">
        <f>_xlfn.SINGLE(IF(L27="","",'字段对应'!$B$10&amp;"="&amp;VLOOKUP(L27,'基础信息'!$I$2:$J$6,2,0)&amp;";"))&amp;_xlfn.SINGLE(IF(M27="","",'字段对应'!$B$11&amp;"="&amp;VLOOKUP(M27,'基础信息'!$K$2:$L$6,2,0)&amp;";"))&amp;_xlfn.SINGLE(IF(N27="","",'字段对应'!$C$2&amp;"="&amp;N27&amp;","&amp;O27&amp;","&amp;P27&amp;";"))&amp;_xlfn.SINGLE(IF(Q27="","",'字段对应'!$B$13&amp;"="&amp;Q27&amp;";"))&amp;_xlfn.SINGLE(IF(R27="","",'字段对应'!$B$14&amp;"="&amp;R27&amp;";"))&amp;_xlfn.SINGLE(IF(U27="","",'字段对应'!$B$22&amp;"="&amp;U27&amp;";"))&amp;_xlfn.SINGLE(IF(K27="","",'字段对应'!$B$21&amp;"="&amp;VLOOKUP(K27,'基础信息'!$F$2:$G$4,2,0)))</f>
        <v>PhotoMode=1;ScanSpeed=2;Slit1=2.0;</v>
      </c>
      <c s="177" t="str">
        <f>_xlfn.SINGLE(IF(W27="","",'检测项信息'!W27&amp;":"&amp;'字段对应'!$B$16&amp;"|"))&amp;IF(X27="","",X27&amp;":"&amp;IF(V27="是",'字段对应'!$C$17,'字段对应'!$B$17&amp;";"&amp;_xlfn.SINGLE(IF(H27="","",'字段对应'!$B$15&amp;"="&amp;'检测项信息'!H27)))&amp;"|")&amp;_xlfn.SINGLE(IF(Y27="",":",Y27&amp;":"))&amp;IF(V27="是",'字段对应'!$C$18,'字段对应'!$B$18&amp;";"&amp;_xlfn.SINGLE(IF(H27="","",'字段对应'!$B$15&amp;"="&amp;'检测项信息'!H27))&amp;_xlfn.SINGLE(IF(AND(T27="",S27=""),"",";"&amp;'字段对应'!$B$20&amp;"="&amp;T27&amp;";"&amp;'字段对应'!$B$19&amp;"="&amp;S27)))</f>
        <v>黑挡块:Dark|空气:Zero;Wl=635,546,440|30%中性滤光片:Measure;Wl=635,546,440</v>
      </c>
      <c s="189">
        <v>3</v>
      </c>
      <c s="189">
        <v>1</v>
      </c>
      <c s="177" t="s">
        <v>291</v>
      </c>
      <c s="177" t="str">
        <f>VLOOKUP(J27,'字段对应'!$D$2:$E$8,2,0)</f>
        <v>Validation.ViewModel.DataStructure.WlPointsAndAverageUVTestTool</v>
      </c>
      <c s="177" t="s">
        <v>288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117"/>
      <c s="117"/>
      <c s="117"/>
      <c s="177" t="s">
        <v>142</v>
      </c>
      <c s="177" t="s">
        <v>275</v>
      </c>
      <c s="177" t="s">
        <v>273</v>
      </c>
      <c s="177" t="s">
        <v>48</v>
      </c>
      <c s="189">
        <f>VLOOKUP(A27,'对应信息'!$D$2:$E$10,2,0)</f>
        <v>2E+3</v>
      </c>
      <c s="189">
        <f t="shared" si="1"/>
        <v>2004</v>
      </c>
      <c s="96" t="s">
        <v>294</v>
      </c>
    </row>
    <row r="28" ht="54">
      <c r="A28" s="177" t="s">
        <v>216</v>
      </c>
      <c s="177" t="s">
        <v>216</v>
      </c>
      <c s="177" t="s">
        <v>295</v>
      </c>
      <c s="177" t="str">
        <f>_xlfn.SINGLE(IF(L28="","",'字段对应'!$B$10&amp;"="&amp;VLOOKUP(L28,'基础信息'!$I$2:$J$6,2,0)&amp;";"))&amp;_xlfn.SINGLE(IF(M28="","",'字段对应'!$B$11&amp;"="&amp;VLOOKUP(M28,'基础信息'!$K$2:$L$6,2,0)&amp;";"))&amp;_xlfn.SINGLE(IF(N28="","",'字段对应'!$C$2&amp;"="&amp;N28&amp;","&amp;O28&amp;","&amp;P28&amp;";"))&amp;_xlfn.SINGLE(IF(Q28="","",'字段对应'!$B$13&amp;"="&amp;Q28&amp;";"))&amp;_xlfn.SINGLE(IF(R28="","",'字段对应'!$B$14&amp;"="&amp;R28&amp;";"))&amp;_xlfn.SINGLE(IF(U28="","",'字段对应'!$B$22&amp;"="&amp;U28&amp;";"))&amp;_xlfn.SINGLE(IF(K28="","",'字段对应'!$B$21&amp;"="&amp;VLOOKUP(K28,'基础信息'!$F$2:$G$4,2,0)))</f>
        <v>PhotoMode=1;ScanSpeed=2;Slit1=2.0;ResponseTime=1;</v>
      </c>
      <c s="177" t="str">
        <f>_xlfn.SINGLE(IF(W28="","",'检测项信息'!W28&amp;":"&amp;'字段对应'!$B$16&amp;"|"))&amp;IF(X28="","",X28&amp;":"&amp;IF(V28="是",'字段对应'!$C$17,'字段对应'!$B$17&amp;";"&amp;_xlfn.SINGLE(IF(H28="","",'字段对应'!$B$15&amp;"="&amp;'检测项信息'!H28)))&amp;"|")&amp;_xlfn.SINGLE(IF(Y28="",":",Y28&amp;":"))&amp;IF(V28="是",'字段对应'!$C$18,'字段对应'!$B$18&amp;";"&amp;_xlfn.SINGLE(IF(H28="","",'字段对应'!$B$15&amp;"="&amp;'检测项信息'!H28))&amp;_xlfn.SINGLE(IF(AND(T28="",S28=""),"",";"&amp;'字段对应'!$B$20&amp;"="&amp;T28&amp;";"&amp;'字段对应'!$B$19&amp;"="&amp;S28)))</f>
        <v>黑挡块:Dark|空气:Zero;Wl=500|空气:Measure;Wl=500;totalcount=3600;timeinterval=1</v>
      </c>
      <c s="189">
        <v>1</v>
      </c>
      <c s="177"/>
      <c s="189">
        <v>500</v>
      </c>
      <c s="177" t="str">
        <f>VLOOKUP(J28,'字段对应'!$D$2:$E$8,2,0)</f>
        <v>Validation.ViewModel.DataStructure.FindMaxOffsetUVTestTool</v>
      </c>
      <c s="177" t="s">
        <v>279</v>
      </c>
      <c s="117"/>
      <c s="117" t="s">
        <v>144</v>
      </c>
      <c s="117" t="s">
        <v>150</v>
      </c>
      <c s="117"/>
      <c s="117"/>
      <c s="117"/>
      <c s="117"/>
      <c s="117" t="s">
        <v>155</v>
      </c>
      <c s="331">
        <v>1</v>
      </c>
      <c s="331">
        <v>3600</v>
      </c>
      <c s="331">
        <v>1</v>
      </c>
      <c s="177" t="s">
        <v>142</v>
      </c>
      <c s="177" t="s">
        <v>275</v>
      </c>
      <c s="177" t="s">
        <v>273</v>
      </c>
      <c s="177" t="s">
        <v>273</v>
      </c>
      <c s="189">
        <f>VLOOKUP(A28,'对应信息'!$D$2:$E$10,2,0)</f>
        <v>9E+3</v>
      </c>
      <c s="189">
        <f t="shared" si="1"/>
        <v>9001</v>
      </c>
      <c s="96"/>
    </row>
  </sheetData>
  <dataValidations>
    <dataValidation type="list" allowBlank="1" showInputMessage="1" showErrorMessage="1" sqref="J1:J1048576">
      <formula1>'字段对应'!$D$2:$D$8</formula1>
    </dataValidation>
    <dataValidation type="list" allowBlank="1" showInputMessage="1" showErrorMessage="1" sqref="K1:K1048576">
      <formula1>'基础信息'!$F$2:$F$4</formula1>
    </dataValidation>
    <dataValidation type="list" allowBlank="1" showInputMessage="1" showErrorMessage="1" sqref="L1:L1048576">
      <formula1>'基础信息'!$I$2:$I$6</formula1>
    </dataValidation>
    <dataValidation type="list" allowBlank="1" showInputMessage="1" showErrorMessage="1" sqref="M1:M1048576">
      <formula1>'基础信息'!$K$2:$K$6</formula1>
    </dataValidation>
    <dataValidation type="list" allowBlank="1" showInputMessage="1" showErrorMessage="1" sqref="P1:P1048576">
      <formula1>'基础信息'!$M$2:$M$9</formula1>
    </dataValidation>
    <dataValidation type="list" allowBlank="1" showInputMessage="1" showErrorMessage="1" sqref="Q1:Q1048576">
      <formula1>'基础信息'!$Q$2:$Q$7</formula1>
    </dataValidation>
    <dataValidation type="list" allowBlank="1" showInputMessage="1" showErrorMessage="1" sqref="R1:R1048576">
      <formula1>'基础信息'!$P$2:$P$6</formula1>
    </dataValidation>
    <dataValidation type="list" allowBlank="1" showInputMessage="1" showErrorMessage="1" sqref="U1:U1048576">
      <formula1>'基础信息'!$R$2:$R$5</formula1>
    </dataValidation>
    <dataValidation type="list" allowBlank="1" showInputMessage="1" showErrorMessage="1" sqref="V1:V1048576">
      <formula1>'基础信息'!$E$2:$E$3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23"/>
  <sheetViews>
    <sheetView topLeftCell="A1" workbookViewId="0" showGridLines="0">
      <pane topLeftCell="A1"/>
      <selection activeCellId="0" activeCell="A27" sqref="A27"/>
    </sheetView>
  </sheetViews>
  <sheetFormatPr defaultColWidth="9" defaultRowHeight="13.5" customHeight="1"/>
  <cols>
    <col min="1" max="1" width="35.38" customWidth="1" style="38"/>
    <col min="2" max="2" width="27.5" customWidth="1" style="38"/>
    <col min="3" max="3" width="15.75" customWidth="1" style="38"/>
    <col min="4" max="4" width="20.25" customWidth="1" style="38"/>
    <col min="5" max="16384" width="9" style="38"/>
  </cols>
  <sheetData>
    <row r="1" customHeight="1">
      <c r="A1" s="101" t="s">
        <v>296</v>
      </c>
      <c s="101" t="s">
        <v>23</v>
      </c>
      <c s="101" t="s">
        <v>124</v>
      </c>
      <c s="450" t="s">
        <v>51</v>
      </c>
    </row>
    <row r="2" customHeight="1">
      <c r="A2" s="89" t="s">
        <v>194</v>
      </c>
      <c s="132" t="s">
        <v>50</v>
      </c>
      <c s="293" t="s">
        <v>195</v>
      </c>
      <c s="297">
        <v>23.2</v>
      </c>
    </row>
    <row r="3" customHeight="1">
      <c r="A3" s="89"/>
      <c s="97"/>
      <c s="293" t="s">
        <v>196</v>
      </c>
      <c s="297">
        <v>51.58</v>
      </c>
    </row>
    <row r="4" ht="12" customHeight="1">
      <c r="A4" s="89"/>
      <c s="97"/>
      <c s="374" t="s">
        <v>197</v>
      </c>
      <c s="297">
        <v>14.06</v>
      </c>
    </row>
    <row r="5" customHeight="1">
      <c r="A5" s="89"/>
      <c s="98"/>
      <c s="374" t="s">
        <v>198</v>
      </c>
      <c s="297">
        <v>18.42</v>
      </c>
    </row>
    <row r="6" customHeight="1">
      <c r="A6" s="89"/>
      <c s="298" t="s">
        <v>40</v>
      </c>
      <c s="293" t="s">
        <v>199</v>
      </c>
      <c s="297">
        <v>7.62</v>
      </c>
    </row>
    <row r="7" customHeight="1">
      <c r="A7" s="89"/>
      <c s="183"/>
      <c s="293" t="s">
        <v>200</v>
      </c>
      <c s="297">
        <v>11.03</v>
      </c>
    </row>
    <row r="8" customHeight="1">
      <c r="A8" s="89"/>
      <c s="184"/>
      <c s="293" t="s">
        <v>201</v>
      </c>
      <c s="297">
        <v>11.46</v>
      </c>
    </row>
    <row r="9" customHeight="1">
      <c r="A9" s="89"/>
      <c s="298" t="s">
        <v>46</v>
      </c>
      <c s="293" t="s">
        <v>199</v>
      </c>
      <c s="297">
        <v>17.64</v>
      </c>
    </row>
    <row r="10" customHeight="1">
      <c r="A10" s="89"/>
      <c s="183"/>
      <c s="293" t="s">
        <v>200</v>
      </c>
      <c s="297">
        <v>21.74</v>
      </c>
    </row>
    <row r="11" customHeight="1">
      <c r="A11" s="89"/>
      <c s="184"/>
      <c s="293" t="s">
        <v>201</v>
      </c>
      <c s="297">
        <v>21.92</v>
      </c>
    </row>
    <row r="12" customHeight="1">
      <c r="A12" s="89"/>
      <c s="298" t="s">
        <v>48</v>
      </c>
      <c s="293" t="s">
        <v>199</v>
      </c>
      <c s="297">
        <v>23.59</v>
      </c>
    </row>
    <row r="13" customHeight="1">
      <c r="A13" s="89"/>
      <c s="183"/>
      <c s="293" t="s">
        <v>200</v>
      </c>
      <c s="297">
        <v>29.32</v>
      </c>
    </row>
    <row r="14" customHeight="1">
      <c r="A14" s="92"/>
      <c s="184"/>
      <c s="293" t="s">
        <v>201</v>
      </c>
      <c s="297">
        <v>29.91</v>
      </c>
    </row>
    <row r="15" customHeight="1">
      <c r="A15" s="132" t="s">
        <v>185</v>
      </c>
      <c s="212" t="s">
        <v>24</v>
      </c>
      <c s="58" t="s">
        <v>187</v>
      </c>
      <c s="58"/>
    </row>
    <row r="16" customHeight="1">
      <c r="A16" s="97"/>
      <c s="195" t="s">
        <v>33</v>
      </c>
      <c s="58" t="s">
        <v>297</v>
      </c>
      <c s="58"/>
    </row>
    <row r="17" customHeight="1">
      <c r="A17" s="97"/>
      <c s="300"/>
      <c s="58" t="s">
        <v>298</v>
      </c>
      <c s="58"/>
    </row>
    <row r="18" customHeight="1">
      <c r="A18" s="97"/>
      <c s="300"/>
      <c s="58" t="s">
        <v>299</v>
      </c>
      <c s="58"/>
    </row>
    <row r="19" customHeight="1">
      <c r="A19" s="97"/>
      <c s="300"/>
      <c s="58" t="s">
        <v>300</v>
      </c>
      <c s="58"/>
    </row>
    <row r="20" customHeight="1">
      <c r="A20" s="97"/>
      <c s="300"/>
      <c s="58" t="s">
        <v>301</v>
      </c>
      <c s="58"/>
    </row>
    <row r="21" customHeight="1">
      <c r="A21" s="98"/>
      <c s="172"/>
      <c s="58" t="s">
        <v>302</v>
      </c>
      <c s="58"/>
    </row>
    <row r="23" customHeight="1">
      <c r="A23" s="90" t="s">
        <v>303</v>
      </c>
      <c s="90"/>
      <c s="90"/>
      <c s="90"/>
    </row>
  </sheetData>
  <mergeCells>
    <mergeCell ref="A23:D23"/>
    <mergeCell ref="A2:A14"/>
    <mergeCell ref="A15:A21"/>
    <mergeCell ref="B2:B5"/>
    <mergeCell ref="B6:B8"/>
    <mergeCell ref="B9:B11"/>
    <mergeCell ref="B12:B14"/>
    <mergeCell ref="B16:B21"/>
  </mergeCells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>
      <pane topLeftCell="A1"/>
      <selection activeCellId="0" activeCell="E33" sqref="E33"/>
    </sheetView>
  </sheetViews>
  <sheetFormatPr defaultColWidth="9" defaultRowHeight="13.5" customHeight="1"/>
  <cols>
    <col min="1" max="2" width="16.13" customWidth="1" style="38"/>
    <col min="3" max="3" width="9" style="38"/>
    <col min="4" max="4" width="13.88" customWidth="1" style="38"/>
    <col min="5" max="5" width="69.88" customWidth="1" style="38"/>
    <col min="6" max="16384" width="9" style="38"/>
  </cols>
  <sheetData>
    <row r="1" customHeight="1">
      <c r="A1" s="126" t="s">
        <v>304</v>
      </c>
      <c s="126" t="s">
        <v>305</v>
      </c>
      <c r="D1" s="126" t="s">
        <v>306</v>
      </c>
      <c s="126" t="s">
        <v>307</v>
      </c>
    </row>
    <row r="2" customHeight="1">
      <c r="A2" s="143" t="s">
        <v>263</v>
      </c>
      <c s="143" t="s">
        <v>308</v>
      </c>
      <c s="143" t="s">
        <v>309</v>
      </c>
      <c s="171" t="s">
        <v>272</v>
      </c>
      <c s="143" t="s">
        <v>310</v>
      </c>
    </row>
    <row r="3" customHeight="1">
      <c r="A3" s="143" t="s">
        <v>264</v>
      </c>
      <c s="143" t="s">
        <v>311</v>
      </c>
      <c r="D3" s="143" t="s">
        <v>288</v>
      </c>
      <c s="143" t="s">
        <v>312</v>
      </c>
    </row>
    <row r="4" customHeight="1">
      <c r="A4" s="143" t="s">
        <v>132</v>
      </c>
      <c s="143" t="s">
        <v>313</v>
      </c>
      <c r="D4" s="171" t="s">
        <v>282</v>
      </c>
      <c s="143" t="s">
        <v>314</v>
      </c>
    </row>
    <row r="5" customHeight="1">
      <c r="A5" s="143" t="s">
        <v>260</v>
      </c>
      <c s="143" t="s">
        <v>315</v>
      </c>
      <c r="D5" s="171" t="s">
        <v>279</v>
      </c>
      <c s="143" t="s">
        <v>316</v>
      </c>
    </row>
    <row r="6" customHeight="1">
      <c r="A6" s="143" t="s">
        <v>258</v>
      </c>
      <c s="143" t="s">
        <v>317</v>
      </c>
      <c r="D6" s="171" t="s">
        <v>277</v>
      </c>
      <c s="143" t="s">
        <v>318</v>
      </c>
    </row>
    <row r="7" customHeight="1">
      <c r="A7" s="143" t="s">
        <v>259</v>
      </c>
      <c s="143" t="s">
        <v>319</v>
      </c>
      <c r="D7" s="171" t="s">
        <v>278</v>
      </c>
      <c s="143" t="s">
        <v>320</v>
      </c>
    </row>
    <row r="8" customHeight="1">
      <c r="A8" s="143" t="s">
        <v>321</v>
      </c>
      <c s="143" t="s">
        <v>322</v>
      </c>
      <c r="D8" s="171" t="s">
        <v>323</v>
      </c>
      <c s="143" t="s">
        <v>324</v>
      </c>
    </row>
    <row r="9" customHeight="1">
      <c r="A9" s="143" t="s">
        <v>256</v>
      </c>
      <c s="143" t="s">
        <v>325</v>
      </c>
    </row>
    <row r="10" customHeight="1">
      <c r="A10" s="143" t="s">
        <v>262</v>
      </c>
      <c s="143" t="s">
        <v>326</v>
      </c>
    </row>
    <row r="11" customHeight="1">
      <c r="A11" s="143" t="s">
        <v>130</v>
      </c>
      <c s="143" t="s">
        <v>327</v>
      </c>
    </row>
    <row r="12" customHeight="1">
      <c r="A12" s="143" t="s">
        <v>265</v>
      </c>
      <c s="143" t="s">
        <v>328</v>
      </c>
    </row>
    <row r="13" customHeight="1">
      <c r="A13" s="143" t="s">
        <v>135</v>
      </c>
      <c s="143" t="s">
        <v>329</v>
      </c>
    </row>
    <row r="14" customHeight="1">
      <c r="A14" s="143" t="s">
        <v>67</v>
      </c>
      <c s="143" t="s">
        <v>330</v>
      </c>
    </row>
    <row r="15" customHeight="1">
      <c r="A15" s="143" t="s">
        <v>124</v>
      </c>
      <c s="143" t="s">
        <v>331</v>
      </c>
    </row>
    <row r="16" customHeight="1">
      <c r="A16" s="143" t="s">
        <v>332</v>
      </c>
      <c s="143" t="s">
        <v>333</v>
      </c>
    </row>
    <row r="17" customHeight="1">
      <c r="A17" s="143" t="s">
        <v>334</v>
      </c>
      <c s="143" t="s">
        <v>335</v>
      </c>
      <c s="143" t="s">
        <v>336</v>
      </c>
    </row>
    <row r="18" customHeight="1">
      <c r="A18" s="143" t="s">
        <v>337</v>
      </c>
      <c s="143" t="s">
        <v>338</v>
      </c>
      <c s="143" t="s">
        <v>339</v>
      </c>
    </row>
    <row r="19" customHeight="1">
      <c r="A19" s="143" t="s">
        <v>266</v>
      </c>
      <c s="143" t="s">
        <v>340</v>
      </c>
    </row>
    <row r="20" customHeight="1">
      <c r="A20" s="143" t="s">
        <v>267</v>
      </c>
      <c s="143" t="s">
        <v>341</v>
      </c>
      <c r="D20" s="143"/>
    </row>
    <row r="21" customHeight="1">
      <c r="A21" s="143" t="s">
        <v>127</v>
      </c>
      <c s="143" t="s">
        <v>342</v>
      </c>
    </row>
    <row r="22" customHeight="1">
      <c r="A22" s="143" t="s">
        <v>136</v>
      </c>
      <c s="143" t="s">
        <v>343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N19"/>
  <sheetViews>
    <sheetView topLeftCell="A1" workbookViewId="0" showGridLines="0">
      <pane topLeftCell="A1"/>
      <selection activeCellId="0" activeCell="C2" sqref="C2:G10"/>
    </sheetView>
  </sheetViews>
  <sheetFormatPr defaultColWidth="9" defaultRowHeight="13.5" customHeight="1"/>
  <cols>
    <col min="1" max="1" width="11.5" customWidth="1" style="72"/>
    <col min="2" max="2" width="7.75" customWidth="1" style="72"/>
    <col min="3" max="6" width="8.5" customWidth="1" style="140"/>
    <col min="7" max="7" width="8.5" customWidth="1" style="128"/>
    <col min="8" max="8" width="7.75" customWidth="1" style="140"/>
    <col min="9" max="9" width="9.75" customWidth="1" style="72"/>
    <col min="10" max="10" width="7.38" customWidth="1" style="72"/>
    <col min="11" max="11" width="10" customWidth="1" style="72"/>
    <col min="12" max="12" width="10.5" customWidth="1" style="76"/>
    <col min="13" max="13" width="9" style="72"/>
    <col min="14" max="14" width="6.63" customWidth="1" style="72"/>
    <col min="15" max="16384" width="9" style="72"/>
  </cols>
  <sheetData>
    <row r="1" ht="25.5">
      <c r="A1" s="101" t="s">
        <v>256</v>
      </c>
      <c s="101" t="s">
        <v>344</v>
      </c>
      <c s="59" t="s">
        <v>34</v>
      </c>
      <c s="64"/>
      <c s="348"/>
      <c s="450" t="s">
        <v>345</v>
      </c>
      <c s="66" t="s">
        <v>346</v>
      </c>
      <c s="450" t="s">
        <v>347</v>
      </c>
      <c s="376" t="s">
        <v>348</v>
      </c>
      <c s="162" t="s">
        <v>183</v>
      </c>
      <c s="70" t="s">
        <v>175</v>
      </c>
    </row>
    <row r="2" ht="15" customHeight="1">
      <c r="A2" s="212" t="s">
        <v>349</v>
      </c>
      <c s="58" t="s">
        <v>186</v>
      </c>
      <c s="326"/>
      <c s="326"/>
      <c s="326"/>
      <c s="358" t="str">
        <f ref="F2:F10" t="shared" si="0">IFERROR(AVERAGE(C2:E2),"")</f>
        <v/>
      </c>
      <c s="358" t="str">
        <f ref="G2:G10" t="shared" si="1">IFERROR(F2-B2,"")</f>
        <v/>
      </c>
      <c s="165">
        <f ref="H2:H10" t="shared" si="2">MAX(C2:E2)-MIN(C2:E2)</f>
        <v>0</v>
      </c>
      <c s="165">
        <v>0.1</v>
      </c>
      <c s="67">
        <v>0.1</v>
      </c>
      <c s="126" t="str">
        <f ref="K2:K10" t="shared" si="3">IF(C2="","未检测",IF(AND(ROUND(ABS(G2),1)&lt;=ROUND(ABS(I2),1),ROUND(H2,1)&lt;=ROUND(J2,1)),"合格","不合格"))</f>
        <v>未检测</v>
      </c>
      <c s="68"/>
    </row>
    <row r="3" ht="15" customHeight="1">
      <c r="A3" s="212" t="s">
        <v>350</v>
      </c>
      <c s="58" t="s">
        <v>351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0.1</v>
      </c>
      <c s="67">
        <v>0.1</v>
      </c>
      <c s="126" t="str">
        <f t="shared" si="3"/>
        <v>未检测</v>
      </c>
      <c s="68"/>
    </row>
    <row r="4" ht="15" customHeight="1">
      <c r="A4" s="212" t="s">
        <v>24</v>
      </c>
      <c s="58" t="str">
        <f>'标准值'!C15</f>
        <v>807.4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109"/>
      <c r="N4" s="61"/>
    </row>
    <row r="5" ht="12" customHeight="1">
      <c r="A5" s="195" t="s">
        <v>33</v>
      </c>
      <c s="58" t="str">
        <f>'标准值'!C16</f>
        <v>640.7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68"/>
    </row>
    <row r="6" customHeight="1">
      <c r="A6" s="300"/>
      <c s="58" t="str">
        <f>'标准值'!C17</f>
        <v>536.8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68"/>
      <c r="N6" s="71"/>
    </row>
    <row r="7" customHeight="1">
      <c r="A7" s="300"/>
      <c s="58" t="str">
        <f>'标准值'!C18</f>
        <v>416.5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68"/>
    </row>
    <row r="8" ht="15" customHeight="1">
      <c r="A8" s="300"/>
      <c s="58" t="str">
        <f>'标准值'!C19</f>
        <v>361.0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68"/>
    </row>
    <row r="9" ht="15" customHeight="1">
      <c r="A9" s="300"/>
      <c s="58" t="str">
        <f>'标准值'!C20</f>
        <v>287.4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68"/>
    </row>
    <row r="10" ht="15" customHeight="1">
      <c r="A10" s="172"/>
      <c s="58" t="str">
        <f>'标准值'!C21</f>
        <v>241.0</v>
      </c>
      <c s="326"/>
      <c s="326"/>
      <c s="326"/>
      <c s="358" t="str">
        <f t="shared" si="0"/>
        <v/>
      </c>
      <c s="358" t="str">
        <f t="shared" si="1"/>
        <v/>
      </c>
      <c s="165">
        <f t="shared" si="2"/>
        <v>0</v>
      </c>
      <c s="165">
        <v>0.3</v>
      </c>
      <c s="67">
        <v>0.1</v>
      </c>
      <c s="126" t="str">
        <f t="shared" si="3"/>
        <v>未检测</v>
      </c>
      <c s="68"/>
    </row>
    <row r="11" ht="15" customHeight="1">
      <c r="A11" s="443"/>
      <c s="381"/>
      <c s="357"/>
      <c s="353"/>
      <c s="353"/>
      <c s="353"/>
      <c s="280"/>
      <c s="353"/>
      <c s="353"/>
      <c s="69"/>
      <c s="74"/>
      <c s="68"/>
    </row>
    <row r="12" customHeight="1">
      <c r="L12" s="109"/>
    </row>
    <row r="13" customHeight="1">
      <c r="L13" s="109"/>
    </row>
    <row r="14" customHeight="1">
      <c r="L14" s="109"/>
    </row>
    <row r="15" customHeight="1">
      <c r="L15" s="109"/>
    </row>
    <row r="16" customHeight="1">
      <c r="L16" s="109"/>
    </row>
    <row r="17" customHeight="1">
      <c r="L17" s="109"/>
    </row>
    <row r="18" customHeight="1">
      <c r="L18" s="109"/>
    </row>
    <row r="19" customHeight="1">
      <c r="L19" s="109"/>
    </row>
  </sheetData>
  <mergeCells>
    <mergeCell ref="C1:E1"/>
    <mergeCell ref="A5:A10"/>
  </mergeCells>
  <conditionalFormatting sqref="K2:K11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L33"/>
  <sheetViews>
    <sheetView topLeftCell="A1" workbookViewId="0" showGridLines="0">
      <pane topLeftCell="A1"/>
      <selection activeCellId="0" activeCell="D2" sqref="D2:H14"/>
    </sheetView>
  </sheetViews>
  <sheetFormatPr defaultColWidth="9" defaultRowHeight="13.5" customHeight="1"/>
  <cols>
    <col min="1" max="1" width="13.38" customWidth="1" style="72"/>
    <col min="2" max="2" width="7.25" customWidth="1" style="380"/>
    <col min="3" max="3" width="7.25" customWidth="1" style="140"/>
    <col min="4" max="6" width="7.88" customWidth="1" style="440"/>
    <col min="7" max="7" width="8.75" customWidth="1" style="278"/>
    <col min="8" max="8" width="7.88" customWidth="1" style="80"/>
    <col min="9" max="9" width="7.25" customWidth="1" style="140"/>
    <col min="10" max="11" width="7.25" customWidth="1" style="72"/>
    <col min="12" max="12" width="10" customWidth="1" style="72"/>
    <col min="13" max="13" width="9" style="72"/>
    <col min="14" max="14" width="14.38" customWidth="1" style="72"/>
    <col min="15" max="20" width="9" style="72"/>
    <col min="21" max="21" width="16.13" customWidth="1" style="72"/>
    <col min="22" max="22" width="13.88" customWidth="1" style="72"/>
    <col min="23" max="16384" width="9" style="72"/>
  </cols>
  <sheetData>
    <row r="1" ht="38.25">
      <c r="A1" s="101" t="s">
        <v>256</v>
      </c>
      <c s="101" t="s">
        <v>352</v>
      </c>
      <c s="450" t="s">
        <v>51</v>
      </c>
      <c s="94" t="s">
        <v>52</v>
      </c>
      <c s="50"/>
      <c s="377"/>
      <c s="450" t="s">
        <v>353</v>
      </c>
      <c s="66" t="s">
        <v>354</v>
      </c>
      <c s="450" t="s">
        <v>355</v>
      </c>
      <c s="376" t="s">
        <v>356</v>
      </c>
      <c s="376" t="s">
        <v>357</v>
      </c>
      <c s="101" t="s">
        <v>175</v>
      </c>
    </row>
    <row r="2" ht="15" customHeight="1">
      <c r="A2" s="132" t="s">
        <v>50</v>
      </c>
      <c s="297">
        <v>350</v>
      </c>
      <c s="297">
        <f>'标准值'!D2</f>
        <v>23.2</v>
      </c>
      <c s="379"/>
      <c s="379"/>
      <c s="379"/>
      <c s="63" t="str">
        <f ref="G2:G14" t="shared" si="0">IFERROR(AVERAGE(D2:F2),"")</f>
        <v/>
      </c>
      <c s="57" t="str">
        <f ref="H2:H14" t="shared" si="1">IFERROR(G2-C2,"")</f>
        <v/>
      </c>
      <c s="82">
        <f ref="I2:I14" t="shared" si="2">MAX(ROUND(D2,2),ROUND(E2,2),ROUND(F2,2))-MIN(ROUND(D2,2),ROUND(E2,2),ROUND(F2,2))</f>
        <v>0</v>
      </c>
      <c s="47">
        <v>0.3</v>
      </c>
      <c s="47">
        <v>0.1</v>
      </c>
      <c s="126" t="str">
        <f ref="L2:L14" t="shared" si="3">IF(D2="","未检测",IF(AND(ROUND(ABS(H2),2)&lt;=ROUND(ABS(J2),2),ROUND(I2,2)&lt;=ROUND(K2,2)),"合格","不合格"))</f>
        <v>未检测</v>
      </c>
    </row>
    <row r="3" customHeight="1">
      <c r="A3" s="97"/>
      <c s="297">
        <v>313</v>
      </c>
      <c s="297">
        <f>'标准值'!D3</f>
        <v>51.58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4" customHeight="1">
      <c r="A4" s="97"/>
      <c s="200">
        <v>257</v>
      </c>
      <c s="297">
        <f>'标准值'!D4</f>
        <v>14.06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5" customHeight="1">
      <c r="A5" s="98"/>
      <c s="200">
        <v>235</v>
      </c>
      <c s="297">
        <f>'标准值'!D5</f>
        <v>18.42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6" customHeight="1">
      <c r="A6" s="298" t="s">
        <v>40</v>
      </c>
      <c s="297">
        <v>635</v>
      </c>
      <c s="297">
        <f>'标准值'!D6</f>
        <v>7.62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7" ht="15" customHeight="1">
      <c r="A7" s="183"/>
      <c s="297">
        <v>546</v>
      </c>
      <c s="297">
        <f>'标准值'!D7</f>
        <v>11.03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8" ht="15" customHeight="1">
      <c r="A8" s="184"/>
      <c s="297">
        <v>440</v>
      </c>
      <c s="297">
        <f>'标准值'!D8</f>
        <v>11.46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9" ht="15" customHeight="1">
      <c r="A9" s="298" t="s">
        <v>46</v>
      </c>
      <c s="297">
        <v>635</v>
      </c>
      <c s="297">
        <f>'标准值'!D9</f>
        <v>17.64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10" ht="15" customHeight="1">
      <c r="A10" s="183"/>
      <c s="297">
        <v>546</v>
      </c>
      <c s="297">
        <f>'标准值'!D10</f>
        <v>21.74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11" customHeight="1">
      <c r="A11" s="184"/>
      <c s="297">
        <v>440</v>
      </c>
      <c s="297">
        <f>'标准值'!D11</f>
        <v>21.92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12" customHeight="1">
      <c r="A12" s="298" t="s">
        <v>48</v>
      </c>
      <c s="297">
        <v>635</v>
      </c>
      <c s="297">
        <f>'标准值'!D12</f>
        <v>23.59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13" customHeight="1">
      <c r="A13" s="183"/>
      <c s="297">
        <v>546</v>
      </c>
      <c s="297">
        <f>'标准值'!D13</f>
        <v>29.32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14" customHeight="1">
      <c r="A14" s="184"/>
      <c s="297">
        <v>440</v>
      </c>
      <c s="297">
        <f>'标准值'!D14</f>
        <v>29.91</v>
      </c>
      <c s="379"/>
      <c s="379"/>
      <c s="379"/>
      <c s="63" t="str">
        <f t="shared" si="0"/>
        <v/>
      </c>
      <c s="57" t="str">
        <f t="shared" si="1"/>
        <v/>
      </c>
      <c s="82">
        <f t="shared" si="2"/>
        <v>0</v>
      </c>
      <c s="47">
        <v>0.3</v>
      </c>
      <c s="47">
        <v>0.1</v>
      </c>
      <c s="126" t="str">
        <f t="shared" si="3"/>
        <v>未检测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>
    <mergeCell ref="D1:F1"/>
    <mergeCell ref="A2:A5"/>
    <mergeCell ref="A6:A8"/>
    <mergeCell ref="A9:A11"/>
    <mergeCell ref="A12:A14"/>
  </mergeCells>
  <conditionalFormatting sqref="L2:L14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5"/>
  <sheetViews>
    <sheetView topLeftCell="A1" workbookViewId="0" showGridLines="0">
      <pane topLeftCell="A1"/>
      <selection activeCellId="0" activeCell="C2" sqref="C2:E3"/>
    </sheetView>
  </sheetViews>
  <sheetFormatPr defaultColWidth="9" defaultRowHeight="13.5" customHeight="1"/>
  <cols>
    <col min="1" max="1" width="18.38" customWidth="1" style="72"/>
    <col min="2" max="2" width="7.88" customWidth="1" style="72"/>
    <col min="3" max="5" width="12.75" customWidth="1" style="40"/>
    <col min="6" max="6" width="10" customWidth="1" style="140"/>
    <col min="7" max="7" width="9.38" customWidth="1" style="72"/>
    <col min="8" max="16384" width="9" style="72"/>
  </cols>
  <sheetData>
    <row r="1" ht="30" customHeight="1">
      <c r="A1" s="101" t="s">
        <v>256</v>
      </c>
      <c s="101" t="s">
        <v>358</v>
      </c>
      <c s="349" t="s">
        <v>52</v>
      </c>
      <c s="202"/>
      <c s="91"/>
      <c s="266" t="s">
        <v>359</v>
      </c>
      <c s="101" t="s">
        <v>175</v>
      </c>
    </row>
    <row r="2" ht="18" customHeight="1">
      <c r="A2" s="45" t="s">
        <v>57</v>
      </c>
      <c s="41">
        <v>220</v>
      </c>
      <c s="436"/>
      <c s="436"/>
      <c s="436"/>
      <c s="42">
        <v>0.01</v>
      </c>
      <c s="126" t="str">
        <f ref="G2:G3" t="shared" si="0">IF(C2="","未检测",IF(ROUND(ABS(AVERAGE(C2:E2)),4)&lt;ROUND(F2,4),"合格","不合格"))</f>
        <v>未检测</v>
      </c>
    </row>
    <row r="3" ht="16.5" customHeight="1">
      <c r="A3" s="45" t="s">
        <v>61</v>
      </c>
      <c s="41">
        <v>360</v>
      </c>
      <c s="436"/>
      <c s="436"/>
      <c s="436"/>
      <c s="42">
        <v>0.05</v>
      </c>
      <c s="126" t="str">
        <f t="shared" si="0"/>
        <v>未检测</v>
      </c>
    </row>
    <row r="5" customHeight="1">
      <c r="A5" s="44"/>
    </row>
  </sheetData>
  <mergeCells>
    <mergeCell ref="C1:E1"/>
  </mergeCells>
  <conditionalFormatting sqref="G2:G3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>
      <pane topLeftCell="A1"/>
      <selection activeCellId="0" activeCell="B2" sqref="B2"/>
    </sheetView>
  </sheetViews>
  <sheetFormatPr defaultColWidth="9" defaultRowHeight="13.5" customHeight="1"/>
  <cols>
    <col min="1" max="1" width="11.75" customWidth="1" style="38"/>
    <col min="2" max="2" width="16.13" customWidth="1" style="31"/>
    <col min="3" max="3" width="17.5" customWidth="1" style="38"/>
    <col min="4" max="4" width="12.25" customWidth="1" style="38"/>
    <col min="5" max="16384" width="9" style="38"/>
  </cols>
  <sheetData>
    <row r="1" ht="30" customHeight="1">
      <c r="A1" s="101" t="s">
        <v>256</v>
      </c>
      <c s="79" t="s">
        <v>64</v>
      </c>
      <c s="376" t="s">
        <v>359</v>
      </c>
      <c s="101" t="s">
        <v>175</v>
      </c>
    </row>
    <row r="2" customHeight="1">
      <c r="A2" s="75" t="s">
        <v>62</v>
      </c>
      <c s="163"/>
      <c s="33">
        <v>0.0005</v>
      </c>
      <c s="126" t="str">
        <f>IF(B2="","未检测",IF(OR(B2="",(ABS(B2)&gt;C2)),"不合格","合格"))</f>
        <v>未检测</v>
      </c>
    </row>
    <row r="4" customHeight="1">
      <c r="B4" s="32"/>
    </row>
    <row r="5" customHeight="1">
      <c r="A5" s="43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>
      <pane topLeftCell="A1"/>
      <selection activeCellId="0" activeCell="B2" sqref="B2"/>
    </sheetView>
  </sheetViews>
  <sheetFormatPr defaultColWidth="9" defaultRowHeight="13.5" customHeight="1"/>
  <cols>
    <col min="1" max="1" width="12.25" customWidth="1" style="38"/>
    <col min="2" max="2" width="12.75" customWidth="1" style="26"/>
    <col min="3" max="3" width="13.25" customWidth="1" style="27"/>
    <col min="4" max="4" width="10.25" customWidth="1" style="38"/>
    <col min="5" max="5" width="13.5" customWidth="1" style="38"/>
    <col min="6" max="8" width="9" style="38"/>
    <col min="9" max="9" width="10" customWidth="1" style="38"/>
    <col min="10" max="16384" width="9" style="38"/>
  </cols>
  <sheetData>
    <row r="1" ht="30" customHeight="1">
      <c r="A1" s="101" t="s">
        <v>256</v>
      </c>
      <c s="35" t="s">
        <v>52</v>
      </c>
      <c s="29" t="s">
        <v>359</v>
      </c>
      <c s="101" t="s">
        <v>175</v>
      </c>
    </row>
    <row r="2" customHeight="1">
      <c r="A2" s="75" t="s">
        <v>65</v>
      </c>
      <c s="270"/>
      <c s="30">
        <v>0.1</v>
      </c>
      <c s="126" t="str">
        <f>IF(B2="","未检测",IF(ABS(ROUND(B2,4))&lt;ROUND(C2,4),"合格","不合格"))</f>
        <v>未检测</v>
      </c>
    </row>
    <row r="4" customHeight="1">
      <c r="B4" s="268"/>
    </row>
    <row r="5" customHeight="1">
      <c r="A5" s="43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7"/>
  <sheetViews>
    <sheetView topLeftCell="A1" workbookViewId="0" showGridLines="0">
      <pane topLeftCell="A1"/>
      <selection activeCellId="0" activeCell="D2" sqref="D2:D6"/>
    </sheetView>
  </sheetViews>
  <sheetFormatPr defaultColWidth="9" defaultRowHeight="13.5" customHeight="1"/>
  <cols>
    <col min="1" max="1" width="9.38" customWidth="1" style="72"/>
    <col min="2" max="2" width="9.38" customWidth="1" style="380"/>
    <col min="3" max="3" width="11.38" customWidth="1" style="76"/>
    <col min="4" max="4" width="14.75" customWidth="1" style="440"/>
    <col min="5" max="5" width="12.13" customWidth="1" style="440"/>
    <col min="6" max="6" width="14.88" customWidth="1" style="440"/>
    <col min="7" max="7" width="10" customWidth="1" style="72"/>
    <col min="8" max="11" width="9" style="72"/>
    <col min="12" max="12" width="16.5" customWidth="1" style="72"/>
    <col min="13" max="16384" width="9" style="72"/>
  </cols>
  <sheetData>
    <row r="1" ht="30" customHeight="1">
      <c r="A1" s="101" t="s">
        <v>256</v>
      </c>
      <c s="166" t="s">
        <v>124</v>
      </c>
      <c s="166" t="s">
        <v>125</v>
      </c>
      <c s="35" t="s">
        <v>34</v>
      </c>
      <c s="35" t="s">
        <v>75</v>
      </c>
      <c s="60" t="s">
        <v>360</v>
      </c>
      <c s="101" t="s">
        <v>175</v>
      </c>
    </row>
    <row r="2" ht="15" customHeight="1">
      <c r="A2" s="75" t="s">
        <v>70</v>
      </c>
      <c s="178">
        <v>656.1</v>
      </c>
      <c s="20">
        <v>5</v>
      </c>
      <c s="358"/>
      <c s="358">
        <f ref="E2:E6" t="shared" si="0">(D2-C2)/C2*100</f>
        <v>-100</v>
      </c>
      <c s="22">
        <v>20</v>
      </c>
      <c s="126" t="str">
        <f ref="G2:G6" t="shared" si="1">IF(D2="","未检测",IF(ROUND(ABS(E2),2)&lt;=ROUND(ABS(F2),2),"合格","不合格"))</f>
        <v>未检测</v>
      </c>
    </row>
    <row r="3" ht="15" customHeight="1">
      <c r="A3" s="75" t="s">
        <v>71</v>
      </c>
      <c s="178">
        <v>656.1</v>
      </c>
      <c s="20">
        <v>2</v>
      </c>
      <c s="358"/>
      <c s="358">
        <f t="shared" si="0"/>
        <v>-100</v>
      </c>
      <c s="22">
        <v>20</v>
      </c>
      <c s="126" t="str">
        <f t="shared" si="1"/>
        <v>未检测</v>
      </c>
    </row>
    <row r="4" customHeight="1">
      <c r="A4" s="75" t="s">
        <v>72</v>
      </c>
      <c s="178">
        <v>656.1</v>
      </c>
      <c s="20">
        <v>1</v>
      </c>
      <c s="358"/>
      <c s="358">
        <f t="shared" si="0"/>
        <v>-100</v>
      </c>
      <c s="22">
        <v>20</v>
      </c>
      <c s="126" t="str">
        <f t="shared" si="1"/>
        <v>未检测</v>
      </c>
    </row>
    <row r="5" customHeight="1">
      <c r="A5" s="75" t="s">
        <v>73</v>
      </c>
      <c s="178">
        <v>656.1</v>
      </c>
      <c s="20">
        <v>0.5</v>
      </c>
      <c s="358"/>
      <c s="358">
        <f t="shared" si="0"/>
        <v>-100</v>
      </c>
      <c s="22">
        <v>20</v>
      </c>
      <c s="126" t="str">
        <f t="shared" si="1"/>
        <v>未检测</v>
      </c>
    </row>
    <row r="6" customHeight="1">
      <c r="A6" s="75" t="s">
        <v>74</v>
      </c>
      <c s="178">
        <v>656.1</v>
      </c>
      <c s="20">
        <v>0.2</v>
      </c>
      <c s="358"/>
      <c s="358">
        <f t="shared" si="0"/>
        <v>-100</v>
      </c>
      <c s="57">
        <v>20</v>
      </c>
      <c s="126" t="str">
        <f t="shared" si="1"/>
        <v>未检测</v>
      </c>
    </row>
    <row r="7" customHeight="1">
      <c r="C7" s="18"/>
      <c s="21"/>
      <c s="21"/>
      <c s="21"/>
      <c s="74"/>
    </row>
  </sheetData>
  <conditionalFormatting sqref="G2:G6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>
      <pane topLeftCell="A1"/>
      <selection activeCellId="0" activeCell="C2" sqref="C2:C5"/>
    </sheetView>
  </sheetViews>
  <sheetFormatPr defaultColWidth="9" defaultRowHeight="13.5" customHeight="1"/>
  <cols>
    <col min="1" max="1" width="15" customWidth="1" style="38"/>
    <col min="2" max="2" width="11.38" customWidth="1" style="38"/>
    <col min="3" max="3" width="14.63" customWidth="1" style="11"/>
    <col min="4" max="4" width="14.13" customWidth="1" style="5"/>
    <col min="5" max="5" width="10" customWidth="1" style="38"/>
    <col min="6" max="16384" width="9" style="38"/>
  </cols>
  <sheetData>
    <row r="1" ht="30" customHeight="1">
      <c r="A1" s="73" t="s">
        <v>256</v>
      </c>
      <c s="101" t="s">
        <v>124</v>
      </c>
      <c s="24" t="s">
        <v>52</v>
      </c>
      <c s="12" t="s">
        <v>361</v>
      </c>
      <c s="101" t="s">
        <v>175</v>
      </c>
    </row>
    <row r="2" customHeight="1">
      <c r="A2" s="167" t="s">
        <v>207</v>
      </c>
      <c s="55">
        <v>500</v>
      </c>
      <c s="25"/>
      <c s="14">
        <v>0.05</v>
      </c>
      <c s="126" t="str">
        <f ref="E2:E5" t="shared" si="0">IF(C2="","未检测",IF(C2&lt;=D2,"合格","不合格"))</f>
        <v>未检测</v>
      </c>
    </row>
    <row r="3" customHeight="1">
      <c r="A3" s="167" t="s">
        <v>208</v>
      </c>
      <c s="55">
        <v>500</v>
      </c>
      <c s="25"/>
      <c s="49">
        <v>0.005</v>
      </c>
      <c s="126" t="str">
        <f t="shared" si="0"/>
        <v>未检测</v>
      </c>
    </row>
    <row r="4" customHeight="1">
      <c r="A4" s="167" t="s">
        <v>209</v>
      </c>
      <c s="55">
        <v>250</v>
      </c>
      <c s="25"/>
      <c s="14">
        <v>0.05</v>
      </c>
      <c s="126" t="str">
        <f t="shared" si="0"/>
        <v>未检测</v>
      </c>
    </row>
    <row r="5" customHeight="1">
      <c r="A5" s="167" t="s">
        <v>210</v>
      </c>
      <c s="55">
        <v>250</v>
      </c>
      <c s="25"/>
      <c s="49">
        <v>0.005</v>
      </c>
      <c s="126" t="str">
        <f t="shared" si="0"/>
        <v>未检测</v>
      </c>
    </row>
    <row r="7" customHeight="1">
      <c r="A7" s="43"/>
      <c s="51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>
      <pane topLeftCell="A1"/>
      <selection activeCellId="0" activeCell="C2" sqref="C2:C5"/>
    </sheetView>
  </sheetViews>
  <sheetFormatPr defaultColWidth="9" defaultRowHeight="13.5" customHeight="1"/>
  <cols>
    <col min="1" max="1" width="16.13" customWidth="1" style="38"/>
    <col min="2" max="2" width="11.38" customWidth="1" style="38"/>
    <col min="3" max="3" width="14.38" customWidth="1" style="5"/>
    <col min="4" max="4" width="14.25" customWidth="1" style="1"/>
    <col min="5" max="5" width="10.75" customWidth="1" style="38"/>
    <col min="6" max="16384" width="9" style="38"/>
  </cols>
  <sheetData>
    <row r="1" ht="30" customHeight="1">
      <c r="A1" s="73" t="s">
        <v>256</v>
      </c>
      <c s="101" t="s">
        <v>362</v>
      </c>
      <c s="16" t="s">
        <v>52</v>
      </c>
      <c s="6" t="s">
        <v>361</v>
      </c>
      <c s="101" t="s">
        <v>175</v>
      </c>
    </row>
    <row r="2" customHeight="1">
      <c r="A2" s="167" t="s">
        <v>212</v>
      </c>
      <c s="55">
        <v>1090</v>
      </c>
      <c s="8"/>
      <c s="9">
        <v>0.1</v>
      </c>
      <c s="126" t="str">
        <f ref="E2:E5" t="shared" si="0">IF(C2="","未检测",IF(C2&lt;=D2,"合格","不合格"))</f>
        <v>未检测</v>
      </c>
    </row>
    <row r="3" customHeight="1">
      <c r="A3" s="167" t="s">
        <v>213</v>
      </c>
      <c s="55">
        <v>1090</v>
      </c>
      <c s="8"/>
      <c s="14">
        <v>0.02</v>
      </c>
      <c s="126" t="str">
        <f t="shared" si="0"/>
        <v>未检测</v>
      </c>
    </row>
    <row r="4" customHeight="1">
      <c r="A4" s="167" t="s">
        <v>214</v>
      </c>
      <c s="55">
        <v>200</v>
      </c>
      <c s="8"/>
      <c s="9">
        <v>0.1</v>
      </c>
      <c s="126" t="str">
        <f t="shared" si="0"/>
        <v>未检测</v>
      </c>
    </row>
    <row r="5" customHeight="1">
      <c r="A5" s="167" t="s">
        <v>215</v>
      </c>
      <c s="55">
        <v>200</v>
      </c>
      <c s="8"/>
      <c s="14">
        <v>0.02</v>
      </c>
      <c s="126" t="str">
        <f t="shared" si="0"/>
        <v>未检测</v>
      </c>
    </row>
    <row r="7" customHeight="1">
      <c r="A7" s="43"/>
      <c s="51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xl/worksheets/sheet1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tabSelected="1" workbookViewId="0" showGridLines="0">
      <pane topLeftCell="A1"/>
      <selection activeCellId="0" activeCell="R31" sqref="R31"/>
    </sheetView>
  </sheetViews>
  <sheetFormatPr defaultColWidth="9" defaultRowHeight="13.5" customHeight="1"/>
  <cols>
    <col min="1" max="2" width="10.5" customWidth="1" style="38"/>
    <col min="3" max="3" width="16.63" customWidth="1" style="1"/>
    <col min="4" max="4" width="16.63" customWidth="1" style="38"/>
    <col min="5" max="5" width="10.75" customWidth="1" style="38"/>
    <col min="6" max="16384" width="9" style="38"/>
  </cols>
  <sheetData>
    <row r="1" ht="30" customHeight="1">
      <c r="A1" s="101" t="s">
        <v>256</v>
      </c>
      <c s="101" t="s">
        <v>362</v>
      </c>
      <c s="450" t="s">
        <v>52</v>
      </c>
      <c s="376" t="s">
        <v>359</v>
      </c>
      <c s="101" t="s">
        <v>175</v>
      </c>
    </row>
    <row r="2" customHeight="1">
      <c r="A2" s="75" t="s">
        <v>216</v>
      </c>
      <c s="37">
        <v>500</v>
      </c>
      <c s="63"/>
      <c s="53">
        <v>0.1</v>
      </c>
      <c s="126" t="str">
        <f ref="E2:E11" t="shared" si="0">IF(C2="","未检测",IF(C2&lt;=D2,"合格","不合格"))</f>
        <v>未检测</v>
      </c>
    </row>
    <row r="3" customHeight="1">
      <c r="A3" s="75" t="s">
        <v>216</v>
      </c>
      <c s="37">
        <v>500</v>
      </c>
      <c s="63"/>
      <c s="53">
        <v>0.1</v>
      </c>
      <c s="126" t="str">
        <f t="shared" si="0"/>
        <v>未检测</v>
      </c>
    </row>
    <row r="4" customHeight="1">
      <c r="A4" s="75" t="s">
        <v>216</v>
      </c>
      <c s="37">
        <v>500</v>
      </c>
      <c s="63"/>
      <c s="53">
        <v>0.1</v>
      </c>
      <c s="126" t="str">
        <f t="shared" si="0"/>
        <v>未检测</v>
      </c>
    </row>
    <row r="5" customHeight="1">
      <c r="A5" s="75" t="s">
        <v>216</v>
      </c>
      <c s="37">
        <v>500</v>
      </c>
      <c s="63"/>
      <c s="53">
        <v>0.1</v>
      </c>
      <c s="126" t="str">
        <f t="shared" si="0"/>
        <v>未检测</v>
      </c>
    </row>
    <row r="6" customHeight="1">
      <c r="A6" s="75" t="s">
        <v>216</v>
      </c>
      <c s="37">
        <v>500</v>
      </c>
      <c s="63"/>
      <c s="53">
        <v>0.1</v>
      </c>
      <c s="126" t="str">
        <f t="shared" si="0"/>
        <v>未检测</v>
      </c>
    </row>
    <row r="7" customHeight="1">
      <c r="A7" s="75" t="s">
        <v>216</v>
      </c>
      <c s="37">
        <v>500</v>
      </c>
      <c s="63"/>
      <c s="53">
        <v>0.1</v>
      </c>
      <c s="126" t="str">
        <f t="shared" si="0"/>
        <v>未检测</v>
      </c>
    </row>
    <row r="8" customHeight="1">
      <c r="A8" s="75" t="s">
        <v>216</v>
      </c>
      <c s="37">
        <v>500</v>
      </c>
      <c s="63"/>
      <c s="53">
        <v>0.1</v>
      </c>
      <c s="126" t="str">
        <f t="shared" si="0"/>
        <v>未检测</v>
      </c>
    </row>
    <row r="9" customHeight="1">
      <c r="A9" s="75" t="s">
        <v>216</v>
      </c>
      <c s="37">
        <v>500</v>
      </c>
      <c s="63"/>
      <c s="53">
        <v>0.1</v>
      </c>
      <c s="126" t="str">
        <f t="shared" si="0"/>
        <v>未检测</v>
      </c>
    </row>
    <row r="10" customHeight="1">
      <c r="A10" s="75" t="s">
        <v>216</v>
      </c>
      <c s="37">
        <v>500</v>
      </c>
      <c s="63"/>
      <c s="53">
        <v>0.1</v>
      </c>
      <c s="126" t="str">
        <f t="shared" si="0"/>
        <v>未检测</v>
      </c>
    </row>
    <row r="11" customHeight="1">
      <c r="A11" s="75" t="s">
        <v>216</v>
      </c>
      <c s="37">
        <v>500</v>
      </c>
      <c s="63"/>
      <c s="53">
        <v>0.1</v>
      </c>
      <c s="126" t="str">
        <f t="shared" si="0"/>
        <v>未检测</v>
      </c>
    </row>
  </sheetData>
  <conditionalFormatting sqref="E2:E11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寻</cp:lastModifiedBy>
  <cp:revision>0</cp:revision>
  <dcterms:created xsi:type="dcterms:W3CDTF">2006-09-16T08:00:00+08:00</dcterms:created>
  <dcterms:modified xsi:type="dcterms:W3CDTF">2025-08-12T04:10:27+08:00</dcterms:modified>
</cp:coreProperties>
</file>